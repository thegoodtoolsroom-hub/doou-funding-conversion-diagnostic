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685e913254e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f2bf4cc245b46a3"/>
    <x:sheet xmlns:r="http://schemas.openxmlformats.org/officeDocument/2006/relationships" name="Alignment_Audit" sheetId="2" r:id="Rb3a2e75dd48b4a80"/>
    <x:sheet xmlns:r="http://schemas.openxmlformats.org/officeDocument/2006/relationships" name="Framework_Lock_12" sheetId="3" r:id="R3e9362cf4a9f4a63"/>
    <x:sheet xmlns:r="http://schemas.openxmlformats.org/officeDocument/2006/relationships" name="Driver_Lock_24" sheetId="4" r:id="R3c2d44dd6ed14a6e"/>
    <x:sheet xmlns:r="http://schemas.openxmlformats.org/officeDocument/2006/relationships" name="Score_Bands" sheetId="5" r:id="Rfd51588b8c98425f"/>
    <x:sheet xmlns:r="http://schemas.openxmlformats.org/officeDocument/2006/relationships" name="Stage_Formulas" sheetId="6" r:id="R2657c06cefa743b9"/>
    <x:sheet xmlns:r="http://schemas.openxmlformats.org/officeDocument/2006/relationships" name="Metric_Registry_121" sheetId="7" r:id="Re2a998262bb7482e"/>
    <x:sheet xmlns:r="http://schemas.openxmlformats.org/officeDocument/2006/relationships" name="LSS_Field_Lock" sheetId="8" r:id="Rc092c6c94b274e0b"/>
    <x:sheet xmlns:r="http://schemas.openxmlformats.org/officeDocument/2006/relationships" name="Report_Placeholders" sheetId="9" r:id="R7c50c19ea0b64c8a"/>
    <x:sheet xmlns:r="http://schemas.openxmlformats.org/officeDocument/2006/relationships" name="Free_Full_Tier_Rules" sheetId="10" r:id="R1aa572ccc19e4ea1"/>
    <x:sheet xmlns:r="http://schemas.openxmlformats.org/officeDocument/2006/relationships" name="QA_Gates" sheetId="11" r:id="R7210ca54d79c4576"/>
    <x:sheet xmlns:r="http://schemas.openxmlformats.org/officeDocument/2006/relationships" name="Change_Control" sheetId="12" r:id="R9fb358b2b89e4a49"/>
    <x:sheet xmlns:r="http://schemas.openxmlformats.org/officeDocument/2006/relationships" name="Validation_Dashboard" sheetId="13" r:id="Rabd5f9dfbff6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Verdana"/>
    </x:font>
    <x:font>
      <x:sz val="9"/>
      <x:name val="Verdana"/>
    </x:font>
    <x:font>
      <x:b/>
      <x:sz val="10"/>
      <x:color rgb="FFFFFFFF"/>
      <x:name val="Verdana"/>
    </x:font>
    <x:font>
      <x:sz val="10"/>
      <x:name val="Verdana"/>
    </x:font>
  </x:fonts>
  <x:fills count="3">
    <x:fill>
      <x:patternFill patternType="none"/>
    </x:fill>
    <x:fill>
      <x:patternFill patternType="gray125"/>
    </x:fill>
    <x:fill>
      <x:patternFill patternType="solid">
        <x:fgColor rgb="FF083F32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0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1964fb72545dc" /><Relationship Type="http://schemas.openxmlformats.org/officeDocument/2006/relationships/theme" Target="/xl/theme/theme1.xml" Id="R2c7a47825ae44abd" /><Relationship Type="http://schemas.openxmlformats.org/officeDocument/2006/relationships/sharedStrings" Target="/xl/sharedStrings.xml" Id="R9763ebfa9d7645e9" /><Relationship Type="http://schemas.openxmlformats.org/officeDocument/2006/relationships/worksheet" Target="/xl/worksheets/sheet1.xml" Id="R9f2bf4cc245b46a3" /><Relationship Type="http://schemas.openxmlformats.org/officeDocument/2006/relationships/worksheet" Target="/xl/worksheets/sheet2.xml" Id="Rb3a2e75dd48b4a80" /><Relationship Type="http://schemas.openxmlformats.org/officeDocument/2006/relationships/worksheet" Target="/xl/worksheets/sheet3.xml" Id="R3e9362cf4a9f4a63" /><Relationship Type="http://schemas.openxmlformats.org/officeDocument/2006/relationships/worksheet" Target="/xl/worksheets/sheet4.xml" Id="R3c2d44dd6ed14a6e" /><Relationship Type="http://schemas.openxmlformats.org/officeDocument/2006/relationships/worksheet" Target="/xl/worksheets/sheet5.xml" Id="Rfd51588b8c98425f" /><Relationship Type="http://schemas.openxmlformats.org/officeDocument/2006/relationships/worksheet" Target="/xl/worksheets/sheet6.xml" Id="R2657c06cefa743b9" /><Relationship Type="http://schemas.openxmlformats.org/officeDocument/2006/relationships/worksheet" Target="/xl/worksheets/sheet7.xml" Id="Re2a998262bb7482e" /><Relationship Type="http://schemas.openxmlformats.org/officeDocument/2006/relationships/worksheet" Target="/xl/worksheets/sheet8.xml" Id="Rc092c6c94b274e0b" /><Relationship Type="http://schemas.openxmlformats.org/officeDocument/2006/relationships/worksheet" Target="/xl/worksheets/sheet9.xml" Id="R7c50c19ea0b64c8a" /><Relationship Type="http://schemas.openxmlformats.org/officeDocument/2006/relationships/worksheet" Target="/xl/worksheets/sheet10.xml" Id="R1aa572ccc19e4ea1" /><Relationship Type="http://schemas.openxmlformats.org/officeDocument/2006/relationships/worksheet" Target="/xl/worksheets/sheet11.xml" Id="R7210ca54d79c4576" /><Relationship Type="http://schemas.openxmlformats.org/officeDocument/2006/relationships/worksheet" Target="/xl/worksheets/sheet12.xml" Id="R9fb358b2b89e4a49" /><Relationship Type="http://schemas.openxmlformats.org/officeDocument/2006/relationships/worksheet" Target="/xl/worksheets/sheet13.xml" Id="Rabd5f9dfbff645c1" /></Relationships>
</file>

<file path=xl/tables/table1.xml><?xml version="1.0" encoding="utf-8"?>
<x:table xmlns:x="http://schemas.openxmlformats.org/spreadsheetml/2006/main" id="1" name="READMETable" displayName="READMETable" ref="A1:B8" headerRowCount="1">
  <x:tableColumns count="2">
    <x:tableColumn id="1" name="DOO U Grant Funding Conversion Diagnostic — Product Lock Workbook"/>
    <x:tableColumn id="2" name="Column2"/>
  </x:tableColumns>
  <x:tableStyleInfo name="TableStyleMedium2" showRowStripes="1"/>
</x:table>
</file>

<file path=xl/tables/table2.xml><?xml version="1.0" encoding="utf-8"?>
<x:table xmlns:x="http://schemas.openxmlformats.org/spreadsheetml/2006/main" id="2" name="AlignmentAuditTable" displayName="AlignmentAuditTable" ref="A1:D6" headerRowCount="1">
  <x:tableColumns count="4">
    <x:tableColumn id="1" name="Attachment"/>
    <x:tableColumn id="2" name="Alignment status"/>
    <x:tableColumn id="3" name="Issue found"/>
    <x:tableColumn id="4" name="Locked action"/>
  </x:tableColumns>
  <x:tableStyleInfo name="TableStyleMedium2" showRowStripes="1"/>
</x:table>
</file>

<file path=xl/tables/table3.xml><?xml version="1.0" encoding="utf-8"?>
<x:table xmlns:x="http://schemas.openxmlformats.org/spreadsheetml/2006/main" id="3" name="FrameworkLock12Table" displayName="FrameworkLock12Table" ref="A1:G13" headerRowCount="1">
  <x:tableColumns count="7">
    <x:tableColumn id="1" name="Variable code"/>
    <x:tableColumn id="2" name="Client-facing variable"/>
    <x:tableColumn id="3" name="Weight %"/>
    <x:tableColumn id="4" name="Metric count"/>
    <x:tableColumn id="5" name="Barrier grouping"/>
    <x:tableColumn id="6" name="Driver codes"/>
    <x:tableColumn id="7" name="Driver names"/>
  </x:tableColumns>
  <x:tableStyleInfo name="TableStyleMedium2" showRowStripes="1"/>
</x:table>
</file>

<file path=xl/tables/table4.xml><?xml version="1.0" encoding="utf-8"?>
<x:table xmlns:x="http://schemas.openxmlformats.org/spreadsheetml/2006/main" id="4" name="DriverLock24Table" displayName="DriverLock24Table" ref="A1:H25" headerRowCount="1">
  <x:tableColumns count="8">
    <x:tableColumn id="1" name="Driver code"/>
    <x:tableColumn id="2" name="Assessment area / driver name"/>
    <x:tableColumn id="3" name="Variable code"/>
    <x:tableColumn id="4" name="Variable name"/>
    <x:tableColumn id="5" name="Variable weight %"/>
    <x:tableColumn id="6" name="Metric count"/>
    <x:tableColumn id="7" name="Barrier grouping"/>
    <x:tableColumn id="8" name="Primary stage relevance"/>
  </x:tableColumns>
  <x:tableStyleInfo name="TableStyleMedium2" showRowStripes="1"/>
</x:table>
</file>

<file path=xl/tables/table5.xml><?xml version="1.0" encoding="utf-8"?>
<x:table xmlns:x="http://schemas.openxmlformats.org/spreadsheetml/2006/main" id="5" name="ScoreBandsTable" displayName="ScoreBandsTable" ref="A1:E6" headerRowCount="1">
  <x:tableColumns count="5">
    <x:tableColumn id="1" name="Percent range"/>
    <x:tableColumn id="2" name="Client label"/>
    <x:tableColumn id="3" name="Internal label"/>
    <x:tableColumn id="4" name="Action language"/>
    <x:tableColumn id="5" name="Interpretation rule"/>
  </x:tableColumns>
  <x:tableStyleInfo name="TableStyleMedium2" showRowStripes="1"/>
</x:table>
</file>

<file path=xl/tables/table6.xml><?xml version="1.0" encoding="utf-8"?>
<x:table xmlns:x="http://schemas.openxmlformats.org/spreadsheetml/2006/main" id="6" name="StageFormulasTable" displayName="StageFormulasTable" ref="A1:E9" headerRowCount="1">
  <x:tableColumns count="5">
    <x:tableColumn id="1" name="Stage"/>
    <x:tableColumn id="2" name="Name"/>
    <x:tableColumn id="3" name="Locked formula"/>
    <x:tableColumn id="4" name="Gate question"/>
    <x:tableColumn id="5" name="Variables used"/>
  </x:tableColumns>
  <x:tableStyleInfo name="TableStyleMedium2" showRowStripes="1"/>
</x:table>
</file>

<file path=xl/tables/table7.xml><?xml version="1.0" encoding="utf-8"?>
<x:table xmlns:x="http://schemas.openxmlformats.org/spreadsheetml/2006/main" id="7" name="MetricRegistry121Table" displayName="MetricRegistry121Table" ref="A1:U122" headerRowCount="1">
  <x:tableColumns count="21">
    <x:tableColumn id="1" name="metric_id"/>
    <x:tableColumn id="2" name="source_order"/>
    <x:tableColumn id="3" name="source_id"/>
    <x:tableColumn id="4" name="variable_code"/>
    <x:tableColumn id="5" name="variable_name"/>
    <x:tableColumn id="6" name="driver_code"/>
    <x:tableColumn id="7" name="driver_name"/>
    <x:tableColumn id="8" name="barrier_grouping"/>
    <x:tableColumn id="9" name="variable_weight"/>
    <x:tableColumn id="10" name="assessment_item"/>
    <x:tableColumn id="11" name="report_metric_label"/>
    <x:tableColumn id="12" name="what_this_checks"/>
    <x:tableColumn id="13" name="option_1"/>
    <x:tableColumn id="14" name="option_2"/>
    <x:tableColumn id="15" name="option_3"/>
    <x:tableColumn id="16" name="option_4"/>
    <x:tableColumn id="17" name="option_5"/>
    <x:tableColumn id="18" name="na_option"/>
    <x:tableColumn id="19" name="question_type"/>
    <x:tableColumn id="20" name="report_feed"/>
    <x:tableColumn id="21" name="source"/>
  </x:tableColumns>
  <x:tableStyleInfo name="TableStyleMedium2" showRowStripes="1"/>
</x:table>
</file>

<file path=xl/tables/table8.xml><?xml version="1.0" encoding="utf-8"?>
<x:table xmlns:x="http://schemas.openxmlformats.org/spreadsheetml/2006/main" id="8" name="LSSFieldLockTable" displayName="LSSFieldLockTable" ref="A1:N108" headerRowCount="1">
  <x:tableColumns count="14">
    <x:tableColumn id="1" name="qid"/>
    <x:tableColumn id="2" name="old_original_code"/>
    <x:tableColumn id="3" name="previous_lss_code"/>
    <x:tableColumn id="4" name="locked_lss_code"/>
    <x:tableColumn id="5" name="previous_driver_code"/>
    <x:tableColumn id="6" name="locked_driver_code"/>
    <x:tableColumn id="7" name="locked_driver_name"/>
    <x:tableColumn id="8" name="previous_variable"/>
    <x:tableColumn id="9" name="locked_variable"/>
    <x:tableColumn id="10" name="previous_result_area"/>
    <x:tableColumn id="11" name="locked_result_area"/>
    <x:tableColumn id="12" name="locked_stage_relevance"/>
    <x:tableColumn id="13" name="locked_group_id"/>
    <x:tableColumn id="14" name="handling_rule"/>
  </x:tableColumns>
  <x:tableStyleInfo name="TableStyleMedium2" showRowStripes="1"/>
</x:table>
</file>

<file path=xl/tables/table9.xml><?xml version="1.0" encoding="utf-8"?>
<x:table xmlns:x="http://schemas.openxmlformats.org/spreadsheetml/2006/main" id="9" name="ReportPlaceholdersTable" displayName="ReportPlaceholdersTable" ref="A1:E8" headerRowCount="1">
  <x:tableColumns count="5">
    <x:tableColumn id="1" name="Placeholder family"/>
    <x:tableColumn id="2" name="Examples"/>
    <x:tableColumn id="3" name="Source"/>
    <x:tableColumn id="4" name="Tier"/>
    <x:tableColumn id="5" name="Fail condition"/>
  </x:tableColumns>
  <x:tableStyleInfo name="TableStyleMedium2" showRowStripes="1"/>
</x:table>
</file>

<file path=xl/tables/table10.xml><?xml version="1.0" encoding="utf-8"?>
<x:table xmlns:x="http://schemas.openxmlformats.org/spreadsheetml/2006/main" id="10" name="FreeFullTierRulesTable" displayName="FreeFullTierRulesTable" ref="A1:D10" headerRowCount="1">
  <x:tableColumns count="4">
    <x:tableColumn id="1" name="Content area"/>
    <x:tableColumn id="2" name="Free Executive Report"/>
    <x:tableColumn id="3" name="Paid Full Report"/>
    <x:tableColumn id="4" name="Rule"/>
  </x:tableColumns>
  <x:tableStyleInfo name="TableStyleMedium2" showRowStripes="1"/>
</x:table>
</file>

<file path=xl/tables/table11.xml><?xml version="1.0" encoding="utf-8"?>
<x:table xmlns:x="http://schemas.openxmlformats.org/spreadsheetml/2006/main" id="11" name="QAGatesTable" displayName="QAGatesTable" ref="A1:C11" headerRowCount="1">
  <x:tableColumns count="3">
    <x:tableColumn id="1" name="QA gate"/>
    <x:tableColumn id="2" name="Pass condition"/>
    <x:tableColumn id="3" name="Fail action"/>
  </x:tableColumns>
  <x:tableStyleInfo name="TableStyleMedium2" showRowStripes="1"/>
</x:table>
</file>

<file path=xl/tables/table12.xml><?xml version="1.0" encoding="utf-8"?>
<x:table xmlns:x="http://schemas.openxmlformats.org/spreadsheetml/2006/main" id="12" name="ChangeControlTable" displayName="ChangeControlTable" ref="A1:D6" headerRowCount="1">
  <x:tableColumns count="4">
    <x:tableColumn id="1" name="Change type"/>
    <x:tableColumn id="2" name="Who approves"/>
    <x:tableColumn id="3" name="Required updates"/>
    <x:tableColumn id="4" name="Version bum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84ca9d864a4e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f968e6760a45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ea65993b2741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d1b3fafd59d4b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1355a881a4d4e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8a69b4a365a4c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ed3f3f9c0d441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04a3c9ae65841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96ac3a785bc477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12139ae02da48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1636daa8248400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206b1920f2a484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12" t="str">
        <x:v>DOO U Grant Funding Conversion Diagnostic — Product Lock Workbook</x:v>
      </x:c>
      <x:c r="B1" s="12" t="str"/>
    </x:row>
    <x:row r="2">
      <x:c r="A2" s="13" t="str">
        <x:v>Version</x:v>
      </x:c>
      <x:c r="B2" s="13" t="str">
        <x:v>REPORT_FRAMEWORK_LOCK_V1_2026_07_06</x:v>
      </x:c>
    </x:row>
    <x:row r="3">
      <x:c r="A3" s="13" t="str">
        <x:v>Purpose</x:v>
      </x:c>
      <x:c r="B3" s="13" t="str">
        <x:v>Single source of truth for the paid diagnostic app, LimeSurvey export, scoring engine, report automation and QA.</x:v>
      </x:c>
    </x:row>
    <x:row r="4">
      <x:c r="A4" s="13" t="str">
        <x:v>Canonical framework</x:v>
      </x:c>
      <x:c r="B4" s="13" t="str">
        <x:v>12 client-facing report variables + 24 assessment areas/drivers + 121 scored metrics.</x:v>
      </x:c>
    </x:row>
    <x:row r="5">
      <x:c r="A5" s="13" t="str">
        <x:v>Report master</x:v>
      </x:c>
      <x:c r="B5" s="13" t="str">
        <x:v>CSO Grant_Funding_Conversion_Diagnostic_Report_Template.fin(4).docx is the master client report structure.</x:v>
      </x:c>
    </x:row>
    <x:row r="6">
      <x:c r="A6" s="13" t="str">
        <x:v>Decision</x:v>
      </x:c>
      <x:c r="B6" s="13" t="str">
        <x:v>Use the report-version framework names and weights. Short alternate names like Context &amp; Safety / Legal Readiness / Market Intelligence are legacy aliases only.</x:v>
      </x:c>
    </x:row>
    <x:row r="7">
      <x:c r="A7" s="13" t="str">
        <x:v>Non-negotiable</x:v>
      </x:c>
      <x:c r="B7" s="13" t="str">
        <x:v>Do not generate a client-facing report when scored survey signals are missing, unreadable, or defaulting to 50%.</x:v>
      </x:c>
    </x:row>
    <x:row r="8">
      <x:c r="A8" s="13" t="str">
        <x:v>Developer rule</x:v>
      </x:c>
      <x:c r="B8" s="13" t="str">
        <x:v>All app logic must read this product lock workbook or exported registry files; no hard-coded alternate framework names.</x:v>
      </x:c>
    </x:row>
  </x:sheetData>
  <x:pageMargins left="0.7" right="0.7" top="0.75" bottom="0.75" header="0.3" footer="0.3"/>
  <x:tableParts count="1">
    <x:tablePart xmlns:r="http://schemas.openxmlformats.org/officeDocument/2006/relationships" r:id="R5c84ca9d864a4e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2" t="str">
        <x:v>Attachment</x:v>
      </x:c>
      <x:c r="B1" s="12" t="str">
        <x:v>Alignment status</x:v>
      </x:c>
      <x:c r="C1" s="12" t="str">
        <x:v>Issue found</x:v>
      </x:c>
      <x:c r="D1" s="12" t="str">
        <x:v>Locked action</x:v>
      </x:c>
    </x:row>
    <x:row r="2">
      <x:c r="A2" s="13" t="str">
        <x:v>Client report template</x:v>
      </x:c>
      <x:c r="B2" s="13" t="str">
        <x:v>Aligned master</x:v>
      </x:c>
      <x:c r="C2" s="13" t="str">
        <x:v>Uses 12 variables, 121 metrics, report structure, evidence readiness, toolkit and support pages.</x:v>
      </x:c>
      <x:c r="D2" s="13" t="str">
        <x:v>Preserve as paid Full Report master template.</x:v>
      </x:c>
    </x:row>
    <x:row r="3">
      <x:c r="A3" s="13" t="str">
        <x:v>Assessment workbook</x:v>
      </x:c>
      <x:c r="B3" s="13" t="str">
        <x:v>Mostly aligned</x:v>
      </x:c>
      <x:c r="C3" s="13" t="str">
        <x:v>Uses report-version variable names, weights and 24-driver engine.</x:v>
      </x:c>
      <x:c r="D3" s="13" t="str">
        <x:v>Use as source for 121 metric registry and scoring map.</x:v>
      </x:c>
    </x:row>
    <x:row r="4">
      <x:c r="A4" s="13" t="str">
        <x:v>LimeSurvey package</x:v>
      </x:c>
      <x:c r="B4" s="13" t="str">
        <x:v>Not fully aligned</x:v>
      </x:c>
      <x:c r="C4" s="13" t="str">
        <x:v>Previous LSS uses short result areas and driver mapping (Context &amp; Safety, Legal Readiness, Market Intelligence, etc.).</x:v>
      </x:c>
      <x:c r="D4" s="13" t="str">
        <x:v>Superseded by REPORT_FRAMEWORK_LOCKED_v1 LSS and field alignment audit.</x:v>
      </x:c>
    </x:row>
    <x:row r="5">
      <x:c r="A5" s="13" t="str">
        <x:v>Deployable framework Word doc</x:v>
      </x:c>
      <x:c r="B5" s="13" t="str">
        <x:v>Not aligned to report version</x:v>
      </x:c>
      <x:c r="C5" s="13" t="str">
        <x:v>Uses alternate 12-variable names and different weights such as R01 Context &amp; Safety 8%, R12 Financial Health 14%.</x:v>
      </x:c>
      <x:c r="D5" s="13" t="str">
        <x:v>Treat as methodology archive only; use this lock for product build.</x:v>
      </x:c>
    </x:row>
    <x:row r="6">
      <x:c r="A6" s="13" t="str">
        <x:v>Generated report output</x:v>
      </x:c>
      <x:c r="B6" s="13" t="str">
        <x:v>Not acceptable for paid launch</x:v>
      </x:c>
      <x:c r="C6" s="13" t="str">
        <x:v>Prior outputs could generate default 50% reports from 0 scored survey signals.</x:v>
      </x:c>
      <x:c r="D6" s="13" t="str">
        <x:v>Add fail gates before generating any client-facing report.</x:v>
      </x:c>
    </x:row>
  </x:sheetData>
  <x:pageMargins left="0.7" right="0.7" top="0.75" bottom="0.75" header="0.3" footer="0.3"/>
  <x:tableParts count="1">
    <x:tablePart xmlns:r="http://schemas.openxmlformats.org/officeDocument/2006/relationships" r:id="Rbbf968e6760a45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8" hidden="0" customWidth="1"/>
    <x:col min="6" max="6" width="12" hidden="0" customWidth="1"/>
    <x:col min="7" max="7" width="18" hidden="0" customWidth="1"/>
  </x:cols>
  <x:sheetData>
    <x:row r="1">
      <x:c r="A1" s="12" t="str">
        <x:v>Variable code</x:v>
      </x:c>
      <x:c r="B1" s="12" t="str">
        <x:v>Client-facing variable</x:v>
      </x:c>
      <x:c r="C1" s="12" t="str">
        <x:v>Weight %</x:v>
      </x:c>
      <x:c r="D1" s="12" t="str">
        <x:v>Metric count</x:v>
      </x:c>
      <x:c r="E1" s="12" t="str">
        <x:v>Barrier grouping</x:v>
      </x:c>
      <x:c r="F1" s="12" t="str">
        <x:v>Driver codes</x:v>
      </x:c>
      <x:c r="G1" s="12" t="str">
        <x:v>Driver names</x:v>
      </x:c>
    </x:row>
    <x:row r="2">
      <x:c r="A2" s="13" t="str">
        <x:v>R01</x:v>
      </x:c>
      <x:c r="B2" s="13" t="str">
        <x:v>Context, legal route &amp; compliance</x:v>
      </x:c>
      <x:c r="C2" s="13" t="str">
        <x:v>15</x:v>
      </x:c>
      <x:c r="D2" s="13" t="str">
        <x:v>17</x:v>
      </x:c>
      <x:c r="E2" s="13" t="str">
        <x:v>B1 - Context, Eligibility &amp; Compliance</x:v>
      </x:c>
      <x:c r="F2" s="13" t="str">
        <x:v>D01; D02</x:v>
      </x:c>
      <x:c r="G2" s="13" t="str">
        <x:v>Operating context and safety; Legal and receiving route</x:v>
      </x:c>
    </x:row>
    <x:row r="3">
      <x:c r="A3" s="13" t="str">
        <x:v>R02</x:v>
      </x:c>
      <x:c r="B3" s="13" t="str">
        <x:v>Funder intelligence &amp; timing</x:v>
      </x:c>
      <x:c r="C3" s="13" t="str">
        <x:v>6</x:v>
      </x:c>
      <x:c r="D3" s="13" t="str">
        <x:v>9</x:v>
      </x:c>
      <x:c r="E3" s="13" t="str">
        <x:v>B2 - Funding Intelligence &amp; System Discipline</x:v>
      </x:c>
      <x:c r="F3" s="13" t="str">
        <x:v>D03; D04</x:v>
      </x:c>
      <x:c r="G3" s="13" t="str">
        <x:v>Funder market intelligence; Funder timing and access gates</x:v>
      </x:c>
    </x:row>
    <x:row r="4">
      <x:c r="A4" s="13" t="str">
        <x:v>R03</x:v>
      </x:c>
      <x:c r="B4" s="13" t="str">
        <x:v>Fundraising systems &amp; go/no-go</x:v>
      </x:c>
      <x:c r="C4" s="13" t="str">
        <x:v>4</x:v>
      </x:c>
      <x:c r="D4" s="13" t="str">
        <x:v>9</x:v>
      </x:c>
      <x:c r="E4" s="13" t="str">
        <x:v>B2 - Funding Intelligence &amp; System Discipline</x:v>
      </x:c>
      <x:c r="F4" s="13" t="str">
        <x:v>D05; D06</x:v>
      </x:c>
      <x:c r="G4" s="13" t="str">
        <x:v>Pipeline tracking and ownership; Go/no-go discipline and repair loop</x:v>
      </x:c>
    </x:row>
    <x:row r="5">
      <x:c r="A5" s="13" t="str">
        <x:v>R04</x:v>
      </x:c>
      <x:c r="B5" s="13" t="str">
        <x:v>Funder fit &amp; work design</x:v>
      </x:c>
      <x:c r="C5" s="13" t="str">
        <x:v>7</x:v>
      </x:c>
      <x:c r="D5" s="13" t="str">
        <x:v>11</x:v>
      </x:c>
      <x:c r="E5" s="13" t="str">
        <x:v>B3 - Fit, Competitiveness &amp; Access</x:v>
      </x:c>
      <x:c r="F5" s="13" t="str">
        <x:v>D07; D08</x:v>
      </x:c>
      <x:c r="G5" s="13" t="str">
        <x:v>Mandate and eligibility fit; Work design and grant-size fit</x:v>
      </x:c>
    </x:row>
    <x:row r="6">
      <x:c r="A6" s="13" t="str">
        <x:v>R05</x:v>
      </x:c>
      <x:c r="B6" s="13" t="str">
        <x:v>Competitive positioning, appeal &amp; ROI</x:v>
      </x:c>
      <x:c r="C6" s="13" t="str">
        <x:v>5</x:v>
      </x:c>
      <x:c r="D6" s="13" t="str">
        <x:v>8</x:v>
      </x:c>
      <x:c r="E6" s="13" t="str">
        <x:v>B3 - Fit, Competitiveness &amp; Access</x:v>
      </x:c>
      <x:c r="F6" s="13" t="str">
        <x:v>D09; D10</x:v>
      </x:c>
      <x:c r="G6" s="13" t="str">
        <x:v>Competitive positioning; Value case and ROI</x:v>
      </x:c>
    </x:row>
    <x:row r="7">
      <x:c r="A7" s="13" t="str">
        <x:v>R06</x:v>
      </x:c>
      <x:c r="B7" s="13" t="str">
        <x:v>Network position &amp; access routes</x:v>
      </x:c>
      <x:c r="C7" s="13" t="str">
        <x:v>5</x:v>
      </x:c>
      <x:c r="D7" s="13" t="str">
        <x:v>9</x:v>
      </x:c>
      <x:c r="E7" s="13" t="str">
        <x:v>B3 - Fit, Competitiveness &amp; Access</x:v>
      </x:c>
      <x:c r="F7" s="13" t="str">
        <x:v>D11; D12</x:v>
      </x:c>
      <x:c r="G7" s="13" t="str">
        <x:v>Access routes; Referrals and intermediaries</x:v>
      </x:c>
    </x:row>
    <x:row r="8">
      <x:c r="A8" s="13" t="str">
        <x:v>R07</x:v>
      </x:c>
      <x:c r="B8" s="13" t="str">
        <x:v>Relationship, leadership &amp; visibility</x:v>
      </x:c>
      <x:c r="C8" s="13" t="str">
        <x:v>8</x:v>
      </x:c>
      <x:c r="D8" s="13" t="str">
        <x:v>8</x:v>
      </x:c>
      <x:c r="E8" s="13" t="str">
        <x:v>B3 - Fit, Competitiveness &amp; Access</x:v>
      </x:c>
      <x:c r="F8" s="13" t="str">
        <x:v>D13; D14</x:v>
      </x:c>
      <x:c r="G8" s="13" t="str">
        <x:v>Relationship management; Leadership visibility</x:v>
      </x:c>
    </x:row>
    <x:row r="9">
      <x:c r="A9" s="13" t="str">
        <x:v>R08</x:v>
      </x:c>
      <x:c r="B9" s="13" t="str">
        <x:v>Application quality &amp; storytelling</x:v>
      </x:c>
      <x:c r="C9" s="13" t="str">
        <x:v>4</x:v>
      </x:c>
      <x:c r="D9" s="13" t="str">
        <x:v>6</x:v>
      </x:c>
      <x:c r="E9" s="13" t="str">
        <x:v>B4 - Proposal, Proof, Trust &amp; Ethics</x:v>
      </x:c>
      <x:c r="F9" s="13" t="str">
        <x:v>D15; D16</x:v>
      </x:c>
      <x:c r="G9" s="13" t="str">
        <x:v>Application clarity and storytelling; Proposal coherence and budget/story alignment</x:v>
      </x:c>
    </x:row>
    <x:row r="10">
      <x:c r="A10" s="13" t="str">
        <x:v>R09</x:v>
      </x:c>
      <x:c r="B10" s="13" t="str">
        <x:v>Coherence, evidence &amp; social proof</x:v>
      </x:c>
      <x:c r="C10" s="13" t="str">
        <x:v>6</x:v>
      </x:c>
      <x:c r="D10" s="13" t="str">
        <x:v>9</x:v>
      </x:c>
      <x:c r="E10" s="13" t="str">
        <x:v>B4 - Proposal, Proof, Trust &amp; Ethics</x:v>
      </x:c>
      <x:c r="F10" s="13" t="str">
        <x:v>D17; D18</x:v>
      </x:c>
      <x:c r="G10" s="13" t="str">
        <x:v>Evidence readiness; Social proof and references</x:v>
      </x:c>
    </x:row>
    <x:row r="11">
      <x:c r="A11" s="13" t="str">
        <x:v>R10</x:v>
      </x:c>
      <x:c r="B11" s="13" t="str">
        <x:v>Safeguarding &amp; protected proof</x:v>
      </x:c>
      <x:c r="C11" s="13" t="str">
        <x:v>5</x:v>
      </x:c>
      <x:c r="D11" s="13" t="str">
        <x:v>8</x:v>
      </x:c>
      <x:c r="E11" s="13" t="str">
        <x:v>B4 - Proposal, Proof, Trust &amp; Ethics</x:v>
      </x:c>
      <x:c r="F11" s="13" t="str">
        <x:v>D19; D20</x:v>
      </x:c>
      <x:c r="G11" s="13" t="str">
        <x:v>Safeguarding and ethics; Protected evidence protocol</x:v>
      </x:c>
    </x:row>
    <x:row r="12">
      <x:c r="A12" s="13" t="str">
        <x:v>R11</x:v>
      </x:c>
      <x:c r="B12" s="13" t="str">
        <x:v>Due diligence, finance &amp; risk</x:v>
      </x:c>
      <x:c r="C12" s="13" t="str">
        <x:v>28</x:v>
      </x:c>
      <x:c r="D12" s="13" t="str">
        <x:v>22</x:v>
      </x:c>
      <x:c r="E12" s="13" t="str">
        <x:v>B5 - Due Diligence, Operations &amp; Financial Viability</x:v>
      </x:c>
      <x:c r="F12" s="13" t="str">
        <x:v>D21; D22</x:v>
      </x:c>
      <x:c r="G12" s="13" t="str">
        <x:v>Governance and controls; Finance and risk readiness</x:v>
      </x:c>
    </x:row>
    <x:row r="13">
      <x:c r="A13" s="13" t="str">
        <x:v>R12</x:v>
      </x:c>
      <x:c r="B13" s="13" t="str">
        <x:v>Grant management &amp; sustainability</x:v>
      </x:c>
      <x:c r="C13" s="13" t="str">
        <x:v>7</x:v>
      </x:c>
      <x:c r="D13" s="13" t="str">
        <x:v>5</x:v>
      </x:c>
      <x:c r="E13" s="13" t="str">
        <x:v>B6 - Post-Award, Renewal &amp; Adaptability</x:v>
      </x:c>
      <x:c r="F13" s="13" t="str">
        <x:v>D23; D24</x:v>
      </x:c>
      <x:c r="G13" s="13" t="str">
        <x:v>Grant management and renewal; Sustainability and adaptive capacity</x:v>
      </x:c>
    </x:row>
  </x:sheetData>
  <x:pageMargins left="0.7" right="0.7" top="0.75" bottom="0.75" header="0.3" footer="0.3"/>
  <x:tableParts count="1">
    <x:tablePart xmlns:r="http://schemas.openxmlformats.org/officeDocument/2006/relationships" r:id="R89ea65993b2741e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18" hidden="0" customWidth="1"/>
    <x:col min="5" max="5" width="12" hidden="0" customWidth="1"/>
    <x:col min="6" max="6" width="12" hidden="0" customWidth="1"/>
    <x:col min="7" max="7" width="18" hidden="0" customWidth="1"/>
    <x:col min="8" max="8" width="12" hidden="0" customWidth="1"/>
  </x:cols>
  <x:sheetData>
    <x:row r="1">
      <x:c r="A1" s="12" t="str">
        <x:v>Driver code</x:v>
      </x:c>
      <x:c r="B1" s="12" t="str">
        <x:v>Assessment area / driver name</x:v>
      </x:c>
      <x:c r="C1" s="12" t="str">
        <x:v>Variable code</x:v>
      </x:c>
      <x:c r="D1" s="12" t="str">
        <x:v>Variable name</x:v>
      </x:c>
      <x:c r="E1" s="12" t="str">
        <x:v>Variable weight %</x:v>
      </x:c>
      <x:c r="F1" s="12" t="str">
        <x:v>Metric count</x:v>
      </x:c>
      <x:c r="G1" s="12" t="str">
        <x:v>Barrier grouping</x:v>
      </x:c>
      <x:c r="H1" s="12" t="str">
        <x:v>Primary stage relevance</x:v>
      </x:c>
    </x:row>
    <x:row r="2">
      <x:c r="A2" s="13" t="str">
        <x:v>D01</x:v>
      </x:c>
      <x:c r="B2" s="13" t="str">
        <x:v>Operating context and safety</x:v>
      </x:c>
      <x:c r="C2" s="13" t="str">
        <x:v>R01</x:v>
      </x:c>
      <x:c r="D2" s="13" t="str">
        <x:v>Context, legal route &amp; compliance</x:v>
      </x:c>
      <x:c r="E2" s="13" t="str">
        <x:v>15</x:v>
      </x:c>
      <x:c r="F2" s="13" t="str">
        <x:v>13</x:v>
      </x:c>
      <x:c r="G2" s="13" t="str">
        <x:v>B1 - Context, Eligibility &amp; Compliance</x:v>
      </x:c>
      <x:c r="H2" s="13" t="str">
        <x:v>6 Due Diligence</x:v>
      </x:c>
    </x:row>
    <x:row r="3">
      <x:c r="A3" s="13" t="str">
        <x:v>D02</x:v>
      </x:c>
      <x:c r="B3" s="13" t="str">
        <x:v>Legal and receiving route</x:v>
      </x:c>
      <x:c r="C3" s="13" t="str">
        <x:v>R01</x:v>
      </x:c>
      <x:c r="D3" s="13" t="str">
        <x:v>Context, legal route &amp; compliance</x:v>
      </x:c>
      <x:c r="E3" s="13" t="str">
        <x:v>15</x:v>
      </x:c>
      <x:c r="F3" s="13" t="str">
        <x:v>4</x:v>
      </x:c>
      <x:c r="G3" s="13" t="str">
        <x:v>B1 - Context, Eligibility &amp; Compliance</x:v>
      </x:c>
      <x:c r="H3" s="13" t="str">
        <x:v>2 Eligibility Checked; 6 Due Diligence</x:v>
      </x:c>
    </x:row>
    <x:row r="4">
      <x:c r="A4" s="13" t="str">
        <x:v>D03</x:v>
      </x:c>
      <x:c r="B4" s="13" t="str">
        <x:v>Funder market intelligence</x:v>
      </x:c>
      <x:c r="C4" s="13" t="str">
        <x:v>R02</x:v>
      </x:c>
      <x:c r="D4" s="13" t="str">
        <x:v>Funder intelligence &amp; timing</x:v>
      </x:c>
      <x:c r="E4" s="13" t="str">
        <x:v>6</x:v>
      </x:c>
      <x:c r="F4" s="13" t="str">
        <x:v>5</x:v>
      </x:c>
      <x:c r="G4" s="13" t="str">
        <x:v>B2 - Funding Intelligence &amp; System Discipline</x:v>
      </x:c>
      <x:c r="H4" s="13" t="str">
        <x:v>1 Opportunity Found</x:v>
      </x:c>
    </x:row>
    <x:row r="5">
      <x:c r="A5" s="13" t="str">
        <x:v>D04</x:v>
      </x:c>
      <x:c r="B5" s="13" t="str">
        <x:v>Funder timing and access gates</x:v>
      </x:c>
      <x:c r="C5" s="13" t="str">
        <x:v>R02</x:v>
      </x:c>
      <x:c r="D5" s="13" t="str">
        <x:v>Funder intelligence &amp; timing</x:v>
      </x:c>
      <x:c r="E5" s="13" t="str">
        <x:v>6</x:v>
      </x:c>
      <x:c r="F5" s="13" t="str">
        <x:v>4</x:v>
      </x:c>
      <x:c r="G5" s="13" t="str">
        <x:v>B2 - Funding Intelligence &amp; System Discipline</x:v>
      </x:c>
      <x:c r="H5" s="13" t="str">
        <x:v>1 Opportunity Found</x:v>
      </x:c>
    </x:row>
    <x:row r="6">
      <x:c r="A6" s="13" t="str">
        <x:v>D05</x:v>
      </x:c>
      <x:c r="B6" s="13" t="str">
        <x:v>Pipeline tracking and ownership</x:v>
      </x:c>
      <x:c r="C6" s="13" t="str">
        <x:v>R03</x:v>
      </x:c>
      <x:c r="D6" s="13" t="str">
        <x:v>Fundraising systems &amp; go/no-go</x:v>
      </x:c>
      <x:c r="E6" s="13" t="str">
        <x:v>4</x:v>
      </x:c>
      <x:c r="F6" s="13" t="str">
        <x:v>2</x:v>
      </x:c>
      <x:c r="G6" s="13" t="str">
        <x:v>B2 - Funding Intelligence &amp; System Discipline</x:v>
      </x:c>
      <x:c r="H6" s="13" t="str">
        <x:v>3 Application Submitted</x:v>
      </x:c>
    </x:row>
    <x:row r="7">
      <x:c r="A7" s="13" t="str">
        <x:v>D06</x:v>
      </x:c>
      <x:c r="B7" s="13" t="str">
        <x:v>Go/no-go discipline and repair loop</x:v>
      </x:c>
      <x:c r="C7" s="13" t="str">
        <x:v>R03</x:v>
      </x:c>
      <x:c r="D7" s="13" t="str">
        <x:v>Fundraising systems &amp; go/no-go</x:v>
      </x:c>
      <x:c r="E7" s="13" t="str">
        <x:v>4</x:v>
      </x:c>
      <x:c r="F7" s="13" t="str">
        <x:v>7</x:v>
      </x:c>
      <x:c r="G7" s="13" t="str">
        <x:v>B2 - Funding Intelligence &amp; System Discipline</x:v>
      </x:c>
      <x:c r="H7" s="13" t="str">
        <x:v>3 Application Submitted; 4 Proposal Review</x:v>
      </x:c>
    </x:row>
    <x:row r="8">
      <x:c r="A8" s="13" t="str">
        <x:v>D07</x:v>
      </x:c>
      <x:c r="B8" s="13" t="str">
        <x:v>Mandate and eligibility fit</x:v>
      </x:c>
      <x:c r="C8" s="13" t="str">
        <x:v>R04</x:v>
      </x:c>
      <x:c r="D8" s="13" t="str">
        <x:v>Funder fit &amp; work design</x:v>
      </x:c>
      <x:c r="E8" s="13" t="str">
        <x:v>7</x:v>
      </x:c>
      <x:c r="F8" s="13" t="str">
        <x:v>9</x:v>
      </x:c>
      <x:c r="G8" s="13" t="str">
        <x:v>B3 - Fit, Competitiveness &amp; Access</x:v>
      </x:c>
      <x:c r="H8" s="13" t="str">
        <x:v>2 Eligibility Checked; 4 Proposal Review</x:v>
      </x:c>
    </x:row>
    <x:row r="9">
      <x:c r="A9" s="13" t="str">
        <x:v>D08</x:v>
      </x:c>
      <x:c r="B9" s="13" t="str">
        <x:v>Work design and grant-size fit</x:v>
      </x:c>
      <x:c r="C9" s="13" t="str">
        <x:v>R04</x:v>
      </x:c>
      <x:c r="D9" s="13" t="str">
        <x:v>Funder fit &amp; work design</x:v>
      </x:c>
      <x:c r="E9" s="13" t="str">
        <x:v>7</x:v>
      </x:c>
      <x:c r="F9" s="13" t="str">
        <x:v>2</x:v>
      </x:c>
      <x:c r="G9" s="13" t="str">
        <x:v>B3 - Fit, Competitiveness &amp; Access</x:v>
      </x:c>
      <x:c r="H9" s="13" t="str">
        <x:v>2 Eligibility Checked; 4 Proposal Review</x:v>
      </x:c>
    </x:row>
    <x:row r="10">
      <x:c r="A10" s="13" t="str">
        <x:v>D09</x:v>
      </x:c>
      <x:c r="B10" s="13" t="str">
        <x:v>Competitive positioning</x:v>
      </x:c>
      <x:c r="C10" s="13" t="str">
        <x:v>R05</x:v>
      </x:c>
      <x:c r="D10" s="13" t="str">
        <x:v>Competitive positioning, appeal &amp; ROI</x:v>
      </x:c>
      <x:c r="E10" s="13" t="str">
        <x:v>5</x:v>
      </x:c>
      <x:c r="F10" s="13" t="str">
        <x:v>6</x:v>
      </x:c>
      <x:c r="G10" s="13" t="str">
        <x:v>B3 - Fit, Competitiveness &amp; Access</x:v>
      </x:c>
      <x:c r="H10" s="13" t="str">
        <x:v>4 Proposal Review</x:v>
      </x:c>
    </x:row>
    <x:row r="11">
      <x:c r="A11" s="13" t="str">
        <x:v>D10</x:v>
      </x:c>
      <x:c r="B11" s="13" t="str">
        <x:v>Value case and ROI</x:v>
      </x:c>
      <x:c r="C11" s="13" t="str">
        <x:v>R05</x:v>
      </x:c>
      <x:c r="D11" s="13" t="str">
        <x:v>Competitive positioning, appeal &amp; ROI</x:v>
      </x:c>
      <x:c r="E11" s="13" t="str">
        <x:v>5</x:v>
      </x:c>
      <x:c r="F11" s="13" t="str">
        <x:v>2</x:v>
      </x:c>
      <x:c r="G11" s="13" t="str">
        <x:v>B3 - Fit, Competitiveness &amp; Access</x:v>
      </x:c>
      <x:c r="H11" s="13" t="str">
        <x:v>4 Proposal Review</x:v>
      </x:c>
    </x:row>
    <x:row r="12">
      <x:c r="A12" s="13" t="str">
        <x:v>D11</x:v>
      </x:c>
      <x:c r="B12" s="13" t="str">
        <x:v>Access routes</x:v>
      </x:c>
      <x:c r="C12" s="13" t="str">
        <x:v>R06</x:v>
      </x:c>
      <x:c r="D12" s="13" t="str">
        <x:v>Network position &amp; access routes</x:v>
      </x:c>
      <x:c r="E12" s="13" t="str">
        <x:v>5</x:v>
      </x:c>
      <x:c r="F12" s="13" t="str">
        <x:v>1</x:v>
      </x:c>
      <x:c r="G12" s="13" t="str">
        <x:v>B3 - Fit, Competitiveness &amp; Access</x:v>
      </x:c>
      <x:c r="H12" s="13" t="str">
        <x:v>1 Opportunity Found; 5 Conversation / Clarification</x:v>
      </x:c>
    </x:row>
    <x:row r="13">
      <x:c r="A13" s="13" t="str">
        <x:v>D12</x:v>
      </x:c>
      <x:c r="B13" s="13" t="str">
        <x:v>Referrals and intermediaries</x:v>
      </x:c>
      <x:c r="C13" s="13" t="str">
        <x:v>R06</x:v>
      </x:c>
      <x:c r="D13" s="13" t="str">
        <x:v>Network position &amp; access routes</x:v>
      </x:c>
      <x:c r="E13" s="13" t="str">
        <x:v>5</x:v>
      </x:c>
      <x:c r="F13" s="13" t="str">
        <x:v>8</x:v>
      </x:c>
      <x:c r="G13" s="13" t="str">
        <x:v>B3 - Fit, Competitiveness &amp; Access</x:v>
      </x:c>
      <x:c r="H13" s="13" t="str">
        <x:v>1 Opportunity Found; 5 Conversation / Clarification</x:v>
      </x:c>
    </x:row>
    <x:row r="14">
      <x:c r="A14" s="13" t="str">
        <x:v>D13</x:v>
      </x:c>
      <x:c r="B14" s="13" t="str">
        <x:v>Relationship management</x:v>
      </x:c>
      <x:c r="C14" s="13" t="str">
        <x:v>R07</x:v>
      </x:c>
      <x:c r="D14" s="13" t="str">
        <x:v>Relationship, leadership &amp; visibility</x:v>
      </x:c>
      <x:c r="E14" s="13" t="str">
        <x:v>8</x:v>
      </x:c>
      <x:c r="F14" s="13" t="str">
        <x:v>7</x:v>
      </x:c>
      <x:c r="G14" s="13" t="str">
        <x:v>B3 - Fit, Competitiveness &amp; Access</x:v>
      </x:c>
      <x:c r="H14" s="13" t="str">
        <x:v>5 Conversation / Clarification; 8 Award / Renewal</x:v>
      </x:c>
    </x:row>
    <x:row r="15">
      <x:c r="A15" s="13" t="str">
        <x:v>D14</x:v>
      </x:c>
      <x:c r="B15" s="13" t="str">
        <x:v>Leadership visibility</x:v>
      </x:c>
      <x:c r="C15" s="13" t="str">
        <x:v>R07</x:v>
      </x:c>
      <x:c r="D15" s="13" t="str">
        <x:v>Relationship, leadership &amp; visibility</x:v>
      </x:c>
      <x:c r="E15" s="13" t="str">
        <x:v>8</x:v>
      </x:c>
      <x:c r="F15" s="13" t="str">
        <x:v>1</x:v>
      </x:c>
      <x:c r="G15" s="13" t="str">
        <x:v>B3 - Fit, Competitiveness &amp; Access</x:v>
      </x:c>
      <x:c r="H15" s="13" t="str">
        <x:v>5 Conversation / Clarification; 8 Award / Renewal</x:v>
      </x:c>
    </x:row>
    <x:row r="16">
      <x:c r="A16" s="13" t="str">
        <x:v>D15</x:v>
      </x:c>
      <x:c r="B16" s="13" t="str">
        <x:v>Application clarity and storytelling</x:v>
      </x:c>
      <x:c r="C16" s="13" t="str">
        <x:v>R08</x:v>
      </x:c>
      <x:c r="D16" s="13" t="str">
        <x:v>Application quality &amp; storytelling</x:v>
      </x:c>
      <x:c r="E16" s="13" t="str">
        <x:v>4</x:v>
      </x:c>
      <x:c r="F16" s="13" t="str">
        <x:v>5</x:v>
      </x:c>
      <x:c r="G16" s="13" t="str">
        <x:v>B4 - Proposal, Proof, Trust &amp; Ethics</x:v>
      </x:c>
      <x:c r="H16" s="13" t="str">
        <x:v>3 Application Submitted; 4 Proposal Review</x:v>
      </x:c>
    </x:row>
    <x:row r="17">
      <x:c r="A17" s="13" t="str">
        <x:v>D16</x:v>
      </x:c>
      <x:c r="B17" s="13" t="str">
        <x:v>Proposal coherence and budget/story alignment</x:v>
      </x:c>
      <x:c r="C17" s="13" t="str">
        <x:v>R08</x:v>
      </x:c>
      <x:c r="D17" s="13" t="str">
        <x:v>Application quality &amp; storytelling</x:v>
      </x:c>
      <x:c r="E17" s="13" t="str">
        <x:v>4</x:v>
      </x:c>
      <x:c r="F17" s="13" t="str">
        <x:v>1</x:v>
      </x:c>
      <x:c r="G17" s="13" t="str">
        <x:v>B4 - Proposal, Proof, Trust &amp; Ethics</x:v>
      </x:c>
      <x:c r="H17" s="13" t="str">
        <x:v>3 Application Submitted; 4 Proposal Review</x:v>
      </x:c>
    </x:row>
    <x:row r="18">
      <x:c r="A18" s="13" t="str">
        <x:v>D17</x:v>
      </x:c>
      <x:c r="B18" s="13" t="str">
        <x:v>Evidence readiness</x:v>
      </x:c>
      <x:c r="C18" s="13" t="str">
        <x:v>R09</x:v>
      </x:c>
      <x:c r="D18" s="13" t="str">
        <x:v>Coherence, evidence &amp; social proof</x:v>
      </x:c>
      <x:c r="E18" s="13" t="str">
        <x:v>6</x:v>
      </x:c>
      <x:c r="F18" s="13" t="str">
        <x:v>8</x:v>
      </x:c>
      <x:c r="G18" s="13" t="str">
        <x:v>B4 - Proposal, Proof, Trust &amp; Ethics</x:v>
      </x:c>
      <x:c r="H18" s="13" t="str">
        <x:v>4 Proposal Review; 6 Due Diligence</x:v>
      </x:c>
    </x:row>
    <x:row r="19">
      <x:c r="A19" s="13" t="str">
        <x:v>D18</x:v>
      </x:c>
      <x:c r="B19" s="13" t="str">
        <x:v>Social proof and references</x:v>
      </x:c>
      <x:c r="C19" s="13" t="str">
        <x:v>R09</x:v>
      </x:c>
      <x:c r="D19" s="13" t="str">
        <x:v>Coherence, evidence &amp; social proof</x:v>
      </x:c>
      <x:c r="E19" s="13" t="str">
        <x:v>6</x:v>
      </x:c>
      <x:c r="F19" s="13" t="str">
        <x:v>1</x:v>
      </x:c>
      <x:c r="G19" s="13" t="str">
        <x:v>B4 - Proposal, Proof, Trust &amp; Ethics</x:v>
      </x:c>
      <x:c r="H19" s="13" t="str">
        <x:v>6 Due Diligence</x:v>
      </x:c>
    </x:row>
    <x:row r="20">
      <x:c r="A20" s="13" t="str">
        <x:v>D19</x:v>
      </x:c>
      <x:c r="B20" s="13" t="str">
        <x:v>Safeguarding and ethics</x:v>
      </x:c>
      <x:c r="C20" s="13" t="str">
        <x:v>R10</x:v>
      </x:c>
      <x:c r="D20" s="13" t="str">
        <x:v>Safeguarding &amp; protected proof</x:v>
      </x:c>
      <x:c r="E20" s="13" t="str">
        <x:v>5</x:v>
      </x:c>
      <x:c r="F20" s="13" t="str">
        <x:v>6</x:v>
      </x:c>
      <x:c r="G20" s="13" t="str">
        <x:v>B4 - Proposal, Proof, Trust &amp; Ethics</x:v>
      </x:c>
      <x:c r="H20" s="13" t="str">
        <x:v>6 Due Diligence</x:v>
      </x:c>
    </x:row>
    <x:row r="21">
      <x:c r="A21" s="13" t="str">
        <x:v>D20</x:v>
      </x:c>
      <x:c r="B21" s="13" t="str">
        <x:v>Protected evidence protocol</x:v>
      </x:c>
      <x:c r="C21" s="13" t="str">
        <x:v>R10</x:v>
      </x:c>
      <x:c r="D21" s="13" t="str">
        <x:v>Safeguarding &amp; protected proof</x:v>
      </x:c>
      <x:c r="E21" s="13" t="str">
        <x:v>5</x:v>
      </x:c>
      <x:c r="F21" s="13" t="str">
        <x:v>2</x:v>
      </x:c>
      <x:c r="G21" s="13" t="str">
        <x:v>B4 - Proposal, Proof, Trust &amp; Ethics</x:v>
      </x:c>
      <x:c r="H21" s="13" t="str">
        <x:v>6 Due Diligence</x:v>
      </x:c>
    </x:row>
    <x:row r="22">
      <x:c r="A22" s="13" t="str">
        <x:v>D21</x:v>
      </x:c>
      <x:c r="B22" s="13" t="str">
        <x:v>Governance and controls</x:v>
      </x:c>
      <x:c r="C22" s="13" t="str">
        <x:v>R11</x:v>
      </x:c>
      <x:c r="D22" s="13" t="str">
        <x:v>Due diligence, finance &amp; risk</x:v>
      </x:c>
      <x:c r="E22" s="13" t="str">
        <x:v>28</x:v>
      </x:c>
      <x:c r="F22" s="13" t="str">
        <x:v>20</x:v>
      </x:c>
      <x:c r="G22" s="13" t="str">
        <x:v>B5 - Due Diligence, Operations &amp; Financial Viability</x:v>
      </x:c>
      <x:c r="H22" s="13" t="str">
        <x:v>6 Due Diligence; 7 Budget / Contract</x:v>
      </x:c>
    </x:row>
    <x:row r="23">
      <x:c r="A23" s="13" t="str">
        <x:v>D22</x:v>
      </x:c>
      <x:c r="B23" s="13" t="str">
        <x:v>Finance and risk readiness</x:v>
      </x:c>
      <x:c r="C23" s="13" t="str">
        <x:v>R11</x:v>
      </x:c>
      <x:c r="D23" s="13" t="str">
        <x:v>Due diligence, finance &amp; risk</x:v>
      </x:c>
      <x:c r="E23" s="13" t="str">
        <x:v>28</x:v>
      </x:c>
      <x:c r="F23" s="13" t="str">
        <x:v>2</x:v>
      </x:c>
      <x:c r="G23" s="13" t="str">
        <x:v>B5 - Due Diligence, Operations &amp; Financial Viability</x:v>
      </x:c>
      <x:c r="H23" s="13" t="str">
        <x:v>6 Due Diligence; 7 Budget / Contract</x:v>
      </x:c>
    </x:row>
    <x:row r="24">
      <x:c r="A24" s="13" t="str">
        <x:v>D23</x:v>
      </x:c>
      <x:c r="B24" s="13" t="str">
        <x:v>Grant management and renewal</x:v>
      </x:c>
      <x:c r="C24" s="13" t="str">
        <x:v>R12</x:v>
      </x:c>
      <x:c r="D24" s="13" t="str">
        <x:v>Grant management &amp; sustainability</x:v>
      </x:c>
      <x:c r="E24" s="13" t="str">
        <x:v>7</x:v>
      </x:c>
      <x:c r="F24" s="13" t="str">
        <x:v>4</x:v>
      </x:c>
      <x:c r="G24" s="13" t="str">
        <x:v>B6 - Post-Award, Renewal &amp; Adaptability</x:v>
      </x:c>
      <x:c r="H24" s="13" t="str">
        <x:v>8 Award / Renewal</x:v>
      </x:c>
    </x:row>
    <x:row r="25">
      <x:c r="A25" s="13" t="str">
        <x:v>D24</x:v>
      </x:c>
      <x:c r="B25" s="13" t="str">
        <x:v>Sustainability and adaptive capacity</x:v>
      </x:c>
      <x:c r="C25" s="13" t="str">
        <x:v>R12</x:v>
      </x:c>
      <x:c r="D25" s="13" t="str">
        <x:v>Grant management &amp; sustainability</x:v>
      </x:c>
      <x:c r="E25" s="13" t="str">
        <x:v>7</x:v>
      </x:c>
      <x:c r="F25" s="13" t="str">
        <x:v>1</x:v>
      </x:c>
      <x:c r="G25" s="13" t="str">
        <x:v>B6 - Post-Award, Renewal &amp; Adaptability</x:v>
      </x:c>
      <x:c r="H25" s="13" t="str">
        <x:v>7 Budget / Contract; 8 Award / Renewal</x:v>
      </x:c>
    </x:row>
  </x:sheetData>
  <x:pageMargins left="0.7" right="0.7" top="0.75" bottom="0.75" header="0.3" footer="0.3"/>
  <x:tableParts count="1">
    <x:tablePart xmlns:r="http://schemas.openxmlformats.org/officeDocument/2006/relationships" r:id="Rad1b3fafd59d4b1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</x:cols>
  <x:sheetData>
    <x:row r="1">
      <x:c r="A1" s="12" t="str">
        <x:v>Percent range</x:v>
      </x:c>
      <x:c r="B1" s="12" t="str">
        <x:v>Client label</x:v>
      </x:c>
      <x:c r="C1" s="12" t="str">
        <x:v>Internal label</x:v>
      </x:c>
      <x:c r="D1" s="12" t="str">
        <x:v>Action language</x:v>
      </x:c>
      <x:c r="E1" s="12" t="str">
        <x:v>Interpretation rule</x:v>
      </x:c>
    </x:row>
    <x:row r="2">
      <x:c r="A2" s="13" t="str">
        <x:v>0–20%</x:v>
      </x:c>
      <x:c r="B2" s="13" t="str">
        <x:v>Major Barrier</x:v>
      </x:c>
      <x:c r="C2" s="13" t="str">
        <x:v>Locked</x:v>
      </x:c>
      <x:c r="D2" s="13" t="str">
        <x:v>Stop / repair / re-verify</x:v>
      </x:c>
      <x:c r="E2" s="13" t="str">
        <x:v>High likelihood of stall, exclusion, unsafe exposure or due-diligence failure.</x:v>
      </x:c>
    </x:row>
    <x:row r="3">
      <x:c r="A3" s="13" t="str">
        <x:v>21–40%</x:v>
      </x:c>
      <x:c r="B3" s="13" t="str">
        <x:v>Conversion Risk</x:v>
      </x:c>
      <x:c r="C3" s="13" t="str">
        <x:v>Fragile</x:v>
      </x:c>
      <x:c r="D3" s="13" t="str">
        <x:v>Proceed only with targeted repair and route checks</x:v>
      </x:c>
      <x:c r="E3" s="13" t="str">
        <x:v>Assets exist, but not reliable enough to carry conversion.</x:v>
      </x:c>
    </x:row>
    <x:row r="4">
      <x:c r="A4" s="13" t="str">
        <x:v>41–60%</x:v>
      </x:c>
      <x:c r="B4" s="13" t="str">
        <x:v>Light Friction</x:v>
      </x:c>
      <x:c r="C4" s="13" t="str">
        <x:v>Emerging</x:v>
      </x:c>
      <x:c r="D4" s="13" t="str">
        <x:v>Right-size the ask; build evidence; use only well-fit routes</x:v>
      </x:c>
      <x:c r="E4" s="13" t="str">
        <x:v>Usable for selected opportunities but needs strengthening.</x:v>
      </x:c>
    </x:row>
    <x:row r="5">
      <x:c r="A5" s="13" t="str">
        <x:v>61–80%</x:v>
      </x:c>
      <x:c r="B5" s="13" t="str">
        <x:v>Low Barrier</x:v>
      </x:c>
      <x:c r="C5" s="13" t="str">
        <x:v>Functional</x:v>
      </x:c>
      <x:c r="D5" s="13" t="str">
        <x:v>Proceed with standard monitoring and targeted improvements</x:v>
      </x:c>
      <x:c r="E5" s="13" t="str">
        <x:v>Generally funder-ready; still check context, documents and fit.</x:v>
      </x:c>
    </x:row>
    <x:row r="6">
      <x:c r="A6" s="13" t="str">
        <x:v>81–100%</x:v>
      </x:c>
      <x:c r="B6" s="13" t="str">
        <x:v>Strength</x:v>
      </x:c>
      <x:c r="C6" s="13" t="str">
        <x:v>Strong</x:v>
      </x:c>
      <x:c r="D6" s="13" t="str">
        <x:v>Lead with this where it supports funder confidence</x:v>
      </x:c>
      <x:c r="E6" s="13" t="str">
        <x:v>Verified asset or practice that can strengthen the route.</x:v>
      </x:c>
    </x:row>
  </x:sheetData>
  <x:pageMargins left="0.7" right="0.7" top="0.75" bottom="0.75" header="0.3" footer="0.3"/>
  <x:tableParts count="1">
    <x:tablePart xmlns:r="http://schemas.openxmlformats.org/officeDocument/2006/relationships" r:id="Rb1355a881a4d4e4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</x:cols>
  <x:sheetData>
    <x:row r="1">
      <x:c r="A1" s="12" t="str">
        <x:v>Stage</x:v>
      </x:c>
      <x:c r="B1" s="12" t="str">
        <x:v>Name</x:v>
      </x:c>
      <x:c r="C1" s="12" t="str">
        <x:v>Locked formula</x:v>
      </x:c>
      <x:c r="D1" s="12" t="str">
        <x:v>Gate question</x:v>
      </x:c>
      <x:c r="E1" s="12" t="str">
        <x:v>Variables used</x:v>
      </x:c>
    </x:row>
    <x:row r="2">
      <x:c r="A2" s="13" t="str">
        <x:v>1</x:v>
      </x:c>
      <x:c r="B2" s="13" t="str">
        <x:v>Opportunity Found</x:v>
      </x:c>
      <x:c r="C2" s="13" t="str">
        <x:v>AVG(R02, R06)</x:v>
      </x:c>
      <x:c r="D2" s="13" t="str">
        <x:v>Do we know the funder early enough and have a route to reach them?</x:v>
      </x:c>
      <x:c r="E2" s="13" t="str">
        <x:v>R02 Funder intelligence &amp; timing; R06 Network position &amp; access routes</x:v>
      </x:c>
    </x:row>
    <x:row r="3">
      <x:c r="A3" s="13" t="str">
        <x:v>2</x:v>
      </x:c>
      <x:c r="B3" s="13" t="str">
        <x:v>Eligibility Checked</x:v>
      </x:c>
      <x:c r="C3" s="13" t="str">
        <x:v>AVG(R01, R04)</x:v>
      </x:c>
      <x:c r="D3" s="13" t="str">
        <x:v>Can we pass context, legal route, eligibility and fit checks?</x:v>
      </x:c>
      <x:c r="E3" s="13" t="str">
        <x:v>R01 Context, legal route &amp; compliance; R04 Funder fit &amp; work design</x:v>
      </x:c>
    </x:row>
    <x:row r="4">
      <x:c r="A4" s="13" t="str">
        <x:v>3</x:v>
      </x:c>
      <x:c r="B4" s="13" t="str">
        <x:v>Application Submitted</x:v>
      </x:c>
      <x:c r="C4" s="13" t="str">
        <x:v>AVG(R03, R08)</x:v>
      </x:c>
      <x:c r="D4" s="13" t="str">
        <x:v>Are we applying with disciplined effort and a clear application?</x:v>
      </x:c>
      <x:c r="E4" s="13" t="str">
        <x:v>R03 Fundraising systems &amp; go/no-go; R08 Application quality &amp; storytelling</x:v>
      </x:c>
    </x:row>
    <x:row r="5">
      <x:c r="A5" s="13" t="str">
        <x:v>4</x:v>
      </x:c>
      <x:c r="B5" s="13" t="str">
        <x:v>Proposal Review</x:v>
      </x:c>
      <x:c r="C5" s="13" t="str">
        <x:v>WEIGHTEDAVG(R05 35%, R08 25%, R09 25%, R04 15%)</x:v>
      </x:c>
      <x:c r="D5" s="13" t="str">
        <x:v>Does the funder understand, trust and prioritise the ask?</x:v>
      </x:c>
      <x:c r="E5" s="13" t="str">
        <x:v>R05 Competitive positioning, appeal &amp; ROI; R08 Application quality &amp; storytelling; R09 Coherence, evidence &amp; social proof; R04 Funder fit &amp; work design</x:v>
      </x:c>
    </x:row>
    <x:row r="6">
      <x:c r="A6" s="13" t="str">
        <x:v>5</x:v>
      </x:c>
      <x:c r="B6" s="13" t="str">
        <x:v>Conversation / Clarification</x:v>
      </x:c>
      <x:c r="C6" s="13" t="str">
        <x:v>WEIGHTEDAVG(R07 60%, R06 40%)</x:v>
      </x:c>
      <x:c r="D6" s="13" t="str">
        <x:v>Can the organisation move into human engagement?</x:v>
      </x:c>
      <x:c r="E6" s="13" t="str">
        <x:v>R07 Relationship, leadership &amp; visibility; R06 Network position &amp; access routes</x:v>
      </x:c>
    </x:row>
    <x:row r="7">
      <x:c r="A7" s="13" t="str">
        <x:v>6</x:v>
      </x:c>
      <x:c r="B7" s="13" t="str">
        <x:v>Due Diligence</x:v>
      </x:c>
      <x:c r="C7" s="13" t="str">
        <x:v>AVG(R01, R09, R10, R11)</x:v>
      </x:c>
      <x:c r="D7" s="13" t="str">
        <x:v>Do documents, governance, safeguarding, finance and proof survive verification?</x:v>
      </x:c>
      <x:c r="E7" s="13" t="str">
        <x:v>R01 Context, legal route &amp; compliance; R09 Coherence, evidence &amp; social proof; R10 Safeguarding &amp; protected proof; R11 Due diligence, finance &amp; risk</x:v>
      </x:c>
    </x:row>
    <x:row r="8">
      <x:c r="A8" s="13" t="str">
        <x:v>7</x:v>
      </x:c>
      <x:c r="B8" s="13" t="str">
        <x:v>Budget / Contract</x:v>
      </x:c>
      <x:c r="C8" s="13" t="str">
        <x:v>WEIGHTEDAVG(R11 70%, R12 30%)</x:v>
      </x:c>
      <x:c r="D8" s="13" t="str">
        <x:v>Are the ask, terms, costs and delivery promises realistic?</x:v>
      </x:c>
      <x:c r="E8" s="13" t="str">
        <x:v>R11 Due diligence, finance &amp; risk; R12 Grant management &amp; sustainability</x:v>
      </x:c>
    </x:row>
    <x:row r="9">
      <x:c r="A9" s="13" t="str">
        <x:v>8</x:v>
      </x:c>
      <x:c r="B9" s="13" t="str">
        <x:v>Award / Renewal</x:v>
      </x:c>
      <x:c r="C9" s="13" t="str">
        <x:v>AVG(R07, R12)</x:v>
      </x:c>
      <x:c r="D9" s="13" t="str">
        <x:v>Can the relationship, reporting and sustainability position support continued funding?</x:v>
      </x:c>
      <x:c r="E9" s="13" t="str">
        <x:v>R07 Relationship, leadership &amp; visibility; R12 Grant management &amp; sustainability</x:v>
      </x:c>
    </x:row>
  </x:sheetData>
  <x:pageMargins left="0.7" right="0.7" top="0.75" bottom="0.75" header="0.3" footer="0.3"/>
  <x:tableParts count="1">
    <x:tablePart xmlns:r="http://schemas.openxmlformats.org/officeDocument/2006/relationships" r:id="R18a69b4a365a4c9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12" hidden="0" customWidth="1"/>
    <x:col min="5" max="5" width="18" hidden="0" customWidth="1"/>
    <x:col min="6" max="6" width="12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  <x:col min="11" max="11" width="12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</x:cols>
  <x:sheetData>
    <x:row r="1">
      <x:c r="A1" s="12" t="str">
        <x:v>metric_id</x:v>
      </x:c>
      <x:c r="B1" s="12" t="str">
        <x:v>source_order</x:v>
      </x:c>
      <x:c r="C1" s="12" t="str">
        <x:v>source_id</x:v>
      </x:c>
      <x:c r="D1" s="12" t="str">
        <x:v>variable_code</x:v>
      </x:c>
      <x:c r="E1" s="12" t="str">
        <x:v>variable_name</x:v>
      </x:c>
      <x:c r="F1" s="12" t="str">
        <x:v>driver_code</x:v>
      </x:c>
      <x:c r="G1" s="12" t="str">
        <x:v>driver_name</x:v>
      </x:c>
      <x:c r="H1" s="12" t="str">
        <x:v>barrier_grouping</x:v>
      </x:c>
      <x:c r="I1" s="12" t="str">
        <x:v>variable_weight</x:v>
      </x:c>
      <x:c r="J1" s="12" t="str">
        <x:v>assessment_item</x:v>
      </x:c>
      <x:c r="K1" s="12" t="str">
        <x:v>report_metric_label</x:v>
      </x:c>
      <x:c r="L1" s="12" t="str">
        <x:v>what_this_checks</x:v>
      </x:c>
      <x:c r="M1" s="12" t="str">
        <x:v>option_1</x:v>
      </x:c>
      <x:c r="N1" s="12" t="str">
        <x:v>option_2</x:v>
      </x:c>
      <x:c r="O1" s="12" t="str">
        <x:v>option_3</x:v>
      </x:c>
      <x:c r="P1" s="12" t="str">
        <x:v>option_4</x:v>
      </x:c>
      <x:c r="Q1" s="12" t="str">
        <x:v>option_5</x:v>
      </x:c>
      <x:c r="R1" s="12" t="str">
        <x:v>na_option</x:v>
      </x:c>
      <x:c r="S1" s="12" t="str">
        <x:v>question_type</x:v>
      </x:c>
      <x:c r="T1" s="12" t="str">
        <x:v>report_feed</x:v>
      </x:c>
      <x:c r="U1" s="12" t="str">
        <x:v>source</x:v>
      </x:c>
    </x:row>
    <x:row r="2">
      <x:c r="A2" s="13" t="str">
        <x:v>R04.01</x:v>
      </x:c>
      <x:c r="B2" s="13" t="str">
        <x:v>1</x:v>
      </x:c>
      <x:c r="C2" s="13" t="str">
        <x:v>G1</x:v>
      </x:c>
      <x:c r="D2" s="13" t="str">
        <x:v>R04</x:v>
      </x:c>
      <x:c r="E2" s="13" t="str">
        <x:v>Funder fit &amp; work design</x:v>
      </x:c>
      <x:c r="F2" s="13" t="str">
        <x:v>D07</x:v>
      </x:c>
      <x:c r="G2" s="13" t="str">
        <x:v>Mandate and eligibility fit</x:v>
      </x:c>
      <x:c r="H2" s="13" t="str">
        <x:v>B3 - Fit, Competitiveness &amp; Access</x:v>
      </x:c>
      <x:c r="I2" s="13" t="str"/>
      <x:c r="J2" s="13" t="str">
        <x:v>We target funders that currently fund our issue or field</x:v>
      </x:c>
      <x:c r="K2" s="13" t="str">
        <x:v>Thematic mandate alignment</x:v>
      </x:c>
      <x:c r="L2" s="13" t="str">
        <x:v>Answer from your actual target funder list. Check whether recent calls, strategies, or past grants show real issue/field fit.</x:v>
      </x:c>
      <x:c r="M2" s="13" t="str">
        <x:v>1 — No evidence that target funders fund our issue or field</x:v>
      </x:c>
      <x:c r="N2" s="13" t="str">
        <x:v>2 — Issue fit is mostly assumed or based on old information</x:v>
      </x:c>
      <x:c r="O2" s="13" t="str">
        <x:v>3 — Some target funders fit our issue, but the map is incomplete</x:v>
      </x:c>
      <x:c r="P2" s="13" t="str">
        <x:v>4 — Most target funders currently fund our issue, with minor gaps</x:v>
      </x:c>
      <x:c r="Q2" s="13" t="str">
        <x:v>5 — Target list is verified against current issue/field funding priorities</x:v>
      </x:c>
      <x:c r="R2" s="13" t="str">
        <x:v>N/A — Not applicable / unsafe to answer</x:v>
      </x:c>
      <x:c r="S2" s="13" t="str">
        <x:v>Single choice score (1–5 + N/A)</x:v>
      </x:c>
      <x:c r="T2" s="13" t="str">
        <x:v>Funder fit &amp; work design; B3 Fit, Competitiveness &amp; Access; Eligibility; Proposal Review</x:v>
      </x:c>
      <x:c r="U2" s="13" t="str">
        <x:v>Original tested item G1.1 — statement and choices preserved</x:v>
      </x:c>
    </x:row>
    <x:row r="3">
      <x:c r="A3" s="13" t="str">
        <x:v>R04.02</x:v>
      </x:c>
      <x:c r="B3" s="13" t="str">
        <x:v>2</x:v>
      </x:c>
      <x:c r="C3" s="13" t="str">
        <x:v>G2</x:v>
      </x:c>
      <x:c r="D3" s="13" t="str">
        <x:v>R04</x:v>
      </x:c>
      <x:c r="E3" s="13" t="str">
        <x:v>Funder fit &amp; work design</x:v>
      </x:c>
      <x:c r="F3" s="13" t="str">
        <x:v>D07</x:v>
      </x:c>
      <x:c r="G3" s="13" t="str">
        <x:v>Mandate and eligibility fit</x:v>
      </x:c>
      <x:c r="H3" s="13" t="str">
        <x:v>B3 - Fit, Competitiveness &amp; Access</x:v>
      </x:c>
      <x:c r="I3" s="13" t="str"/>
      <x:c r="J3" s="13" t="str">
        <x:v>We target funders that currently fund our geography (country, region, area)</x:v>
      </x:c>
      <x:c r="K3" s="13" t="str">
        <x:v>Geographic fit</x:v>
      </x:c>
      <x:c r="L3" s="13" t="str">
        <x:v>Answer based on whether your target funders currently fund your country, region, city, rural area, or cross-border context.</x:v>
      </x:c>
      <x:c r="M3" s="13" t="str">
        <x:v>1 — No target funders are confirmed for our geography</x:v>
      </x:c>
      <x:c r="N3" s="13" t="str">
        <x:v>2 — Geographic fit is guessed or based on outdated eligibility</x:v>
      </x:c>
      <x:c r="O3" s="13" t="str">
        <x:v>3 — Some funders fit our geography, but coverage is uneven</x:v>
      </x:c>
      <x:c r="P3" s="13" t="str">
        <x:v>4 — Most targets currently fund our geography, with minor exceptions</x:v>
      </x:c>
      <x:c r="Q3" s="13" t="str">
        <x:v>5 — Geographic eligibility is verified for all priority funders</x:v>
      </x:c>
      <x:c r="R3" s="13" t="str">
        <x:v>N/A — Not applicable / unsafe to answer</x:v>
      </x:c>
      <x:c r="S3" s="13" t="str">
        <x:v>Single choice score (1–5 + N/A)</x:v>
      </x:c>
      <x:c r="T3" s="13" t="str">
        <x:v>Funder fit &amp; work design; B3 Fit, Competitiveness &amp; Access; Eligibility; Proposal Review</x:v>
      </x:c>
      <x:c r="U3" s="13" t="str">
        <x:v>Original tested item G1.2 — statement and choices preserved</x:v>
      </x:c>
    </x:row>
    <x:row r="4">
      <x:c r="A4" s="13" t="str">
        <x:v>R04.03</x:v>
      </x:c>
      <x:c r="B4" s="13" t="str">
        <x:v>3</x:v>
      </x:c>
      <x:c r="C4" s="13" t="str">
        <x:v>G3</x:v>
      </x:c>
      <x:c r="D4" s="13" t="str">
        <x:v>R04</x:v>
      </x:c>
      <x:c r="E4" s="13" t="str">
        <x:v>Funder fit &amp; work design</x:v>
      </x:c>
      <x:c r="F4" s="13" t="str">
        <x:v>D07</x:v>
      </x:c>
      <x:c r="G4" s="13" t="str">
        <x:v>Mandate and eligibility fit</x:v>
      </x:c>
      <x:c r="H4" s="13" t="str">
        <x:v>B3 - Fit, Competitiveness &amp; Access</x:v>
      </x:c>
      <x:c r="I4" s="13" t="str"/>
      <x:c r="J4" s="13" t="str">
        <x:v>We target funders that currently support our stage of development (e.g., startup under 2 years, mature 5+ years)</x:v>
      </x:c>
      <x:c r="K4" s="13" t="str">
        <x:v>Population and constituency fit</x:v>
      </x:c>
      <x:c r="L4" s="13" t="str">
        <x:v>Check whether funders support organisations at your current stage: informal, newly registered, growing, mature, fiscally hosted, or established.</x:v>
      </x:c>
      <x:c r="M4" s="13" t="str">
        <x:v>1 — Target funders do not appear to support our current stage</x:v>
      </x:c>
      <x:c r="N4" s="13" t="str">
        <x:v>2 — Stage fit is unclear or based on hope rather than criteria</x:v>
      </x:c>
      <x:c r="O4" s="13" t="str">
        <x:v>3 — Some targets fit our stage, but others may be too early/too mature</x:v>
      </x:c>
      <x:c r="P4" s="13" t="str">
        <x:v>4 — Most targets fit our current stage with small uncertainties</x:v>
      </x:c>
      <x:c r="Q4" s="13" t="str">
        <x:v>5 — Stage fit is verified and matched to appropriate funder types</x:v>
      </x:c>
      <x:c r="R4" s="13" t="str">
        <x:v>N/A — Not applicable / unsafe to answer</x:v>
      </x:c>
      <x:c r="S4" s="13" t="str">
        <x:v>Single choice score (1–5 + N/A)</x:v>
      </x:c>
      <x:c r="T4" s="13" t="str">
        <x:v>Funder fit &amp; work design; B3 Fit, Competitiveness &amp; Access; Eligibility; Proposal Review</x:v>
      </x:c>
      <x:c r="U4" s="13" t="str">
        <x:v>Original tested item G1.3 — statement and choices preserved</x:v>
      </x:c>
    </x:row>
    <x:row r="5">
      <x:c r="A5" s="13" t="str">
        <x:v>R01.01</x:v>
      </x:c>
      <x:c r="B5" s="13" t="str">
        <x:v>4</x:v>
      </x:c>
      <x:c r="C5" s="13" t="str">
        <x:v>G4</x:v>
      </x:c>
      <x:c r="D5" s="13" t="str">
        <x:v>R01</x:v>
      </x:c>
      <x:c r="E5" s="13" t="str">
        <x:v>Context, legal route &amp; compliance</x:v>
      </x:c>
      <x:c r="F5" s="13" t="str">
        <x:v>D02</x:v>
      </x:c>
      <x:c r="G5" s="13" t="str">
        <x:v>Legal and receiving route</x:v>
      </x:c>
      <x:c r="H5" s="13" t="str">
        <x:v>B1 - Context, Eligibility &amp; Compliance</x:v>
      </x:c>
      <x:c r="I5" s="13" t="str"/>
      <x:c r="J5" s="13" t="str">
        <x:v>We target funders that accept our registration or legal status</x:v>
      </x:c>
      <x:c r="K5" s="13" t="str">
        <x:v>Operating context clarity</x:v>
      </x:c>
      <x:c r="L5" s="13" t="str">
        <x:v>Answer from your current status: unregistered, collective, fiscally hosted, NPO/NPC, trust, network, or other legal form.</x:v>
      </x:c>
      <x:c r="M5" s="13" t="str">
        <x:v>1 — Our target funders require a status we do not have</x:v>
      </x:c>
      <x:c r="N5" s="13" t="str">
        <x:v>2 — Legal/status fit is uncertain or relies on informal workarounds</x:v>
      </x:c>
      <x:c r="O5" s="13" t="str">
        <x:v>3 — Some targets accept our status, but options are limited</x:v>
      </x:c>
      <x:c r="P5" s="13" t="str">
        <x:v>4 — Most targets accept our status or host route</x:v>
      </x:c>
      <x:c r="Q5" s="13" t="str">
        <x:v>5 — All priority funders accept our status or verified receiving route</x:v>
      </x:c>
      <x:c r="R5" s="13" t="str">
        <x:v>N/A — Not applicable / unsafe to answer</x:v>
      </x:c>
      <x:c r="S5" s="13" t="str">
        <x:v>Single choice score (1–5 + N/A)</x:v>
      </x:c>
      <x:c r="T5" s="13" t="str">
        <x:v>Context, legal route &amp; compliance; B1 Context, Eligibility &amp; Compliance; Opportunity; Eligibility; Due Diligence</x:v>
      </x:c>
      <x:c r="U5" s="13" t="str">
        <x:v>Original tested item G1.4 — statement and choices preserved</x:v>
      </x:c>
    </x:row>
    <x:row r="6">
      <x:c r="A6" s="13" t="str">
        <x:v>R04.04</x:v>
      </x:c>
      <x:c r="B6" s="13" t="str">
        <x:v>5</x:v>
      </x:c>
      <x:c r="C6" s="13" t="str">
        <x:v>G5</x:v>
      </x:c>
      <x:c r="D6" s="13" t="str">
        <x:v>R04</x:v>
      </x:c>
      <x:c r="E6" s="13" t="str">
        <x:v>Funder fit &amp; work design</x:v>
      </x:c>
      <x:c r="F6" s="13" t="str">
        <x:v>D07</x:v>
      </x:c>
      <x:c r="G6" s="13" t="str">
        <x:v>Mandate and eligibility fit</x:v>
      </x:c>
      <x:c r="H6" s="13" t="str">
        <x:v>B3 - Fit, Competitiveness &amp; Access</x:v>
      </x:c>
      <x:c r="I6" s="13" t="str"/>
      <x:c r="J6" s="13" t="str">
        <x:v>The type of work we do fits what our target funders actually and currently fund</x:v>
      </x:c>
      <x:c r="K6" s="13" t="str">
        <x:v>Grant size versus delivery model</x:v>
      </x:c>
      <x:c r="L6" s="13" t="str">
        <x:v>Check whether your activities and methods match what funders fund now, not only their broad values or mission statements.</x:v>
      </x:c>
      <x:c r="M6" s="13" t="str">
        <x:v>1 — Our activities do not clearly match current funder priorities</x:v>
      </x:c>
      <x:c r="N6" s="13" t="str">
        <x:v>2 — Activity fit is broad, vague, or untested</x:v>
      </x:c>
      <x:c r="O6" s="13" t="str">
        <x:v>3 — Some activities fit, but parts of the work may be hard to fund</x:v>
      </x:c>
      <x:c r="P6" s="13" t="str">
        <x:v>4 — Most activities match current funder priorities</x:v>
      </x:c>
      <x:c r="Q6" s="13" t="str">
        <x:v>5 — Our work type is clearly aligned with current funded activities</x:v>
      </x:c>
      <x:c r="R6" s="13" t="str">
        <x:v>N/A — Not applicable / unsafe to answer</x:v>
      </x:c>
      <x:c r="S6" s="13" t="str">
        <x:v>Single choice score (1–5 + N/A)</x:v>
      </x:c>
      <x:c r="T6" s="13" t="str">
        <x:v>Funder fit &amp; work design; B3 Fit, Competitiveness &amp; Access; Eligibility; Proposal Review</x:v>
      </x:c>
      <x:c r="U6" s="13" t="str">
        <x:v>Original tested item G1.5 — statement and choices preserved</x:v>
      </x:c>
    </x:row>
    <x:row r="7">
      <x:c r="A7" s="13" t="str">
        <x:v>R04.05</x:v>
      </x:c>
      <x:c r="B7" s="13" t="str">
        <x:v>6</x:v>
      </x:c>
      <x:c r="C7" s="13" t="str">
        <x:v>G6</x:v>
      </x:c>
      <x:c r="D7" s="13" t="str">
        <x:v>R04</x:v>
      </x:c>
      <x:c r="E7" s="13" t="str">
        <x:v>Funder fit &amp; work design</x:v>
      </x:c>
      <x:c r="F7" s="13" t="str">
        <x:v>D07</x:v>
      </x:c>
      <x:c r="G7" s="13" t="str">
        <x:v>Mandate and eligibility fit</x:v>
      </x:c>
      <x:c r="H7" s="13" t="str">
        <x:v>B3 - Fit, Competitiveness &amp; Access</x:v>
      </x:c>
      <x:c r="I7" s="13" t="str"/>
      <x:c r="J7" s="13" t="str">
        <x:v>The grant type we need (core, project, emergency, flexible, research, advocacy, or movement support) is currently offered by target funders</x:v>
      </x:c>
      <x:c r="K7" s="13" t="str">
        <x:v>Route and modality match</x:v>
      </x:c>
      <x:c r="L7" s="13" t="str">
        <x:v>Check whether the funders offer the kind of money you need, not just whether they like the issue.</x:v>
      </x:c>
      <x:c r="M7" s="13" t="str">
        <x:v>1 — Target funders do not offer the grant type we need</x:v>
      </x:c>
      <x:c r="N7" s="13" t="str">
        <x:v>2 — Grant-type fit is unclear or depends on exceptions</x:v>
      </x:c>
      <x:c r="O7" s="13" t="str">
        <x:v>3 — Some target funders offer the needed grant type</x:v>
      </x:c>
      <x:c r="P7" s="13" t="str">
        <x:v>4 — Most targets offer suitable grant types with minor limits</x:v>
      </x:c>
      <x:c r="Q7" s="13" t="str">
        <x:v>5 — Grant type is verified for all priority targets and matched to need</x:v>
      </x:c>
      <x:c r="R7" s="13" t="str">
        <x:v>N/A — Not applicable / unsafe to answer</x:v>
      </x:c>
      <x:c r="S7" s="13" t="str">
        <x:v>Single choice score (1–5 + N/A)</x:v>
      </x:c>
      <x:c r="T7" s="13" t="str">
        <x:v>Funder fit &amp; work design; B3 Fit, Competitiveness &amp; Access; Eligibility; Proposal Review</x:v>
      </x:c>
      <x:c r="U7" s="13" t="str">
        <x:v>Original tested item G1.6 — statement and choices preserved</x:v>
      </x:c>
    </x:row>
    <x:row r="8">
      <x:c r="A8" s="13" t="str">
        <x:v>R04.06</x:v>
      </x:c>
      <x:c r="B8" s="13" t="str">
        <x:v>7</x:v>
      </x:c>
      <x:c r="C8" s="13" t="str">
        <x:v>G7</x:v>
      </x:c>
      <x:c r="D8" s="13" t="str">
        <x:v>R04</x:v>
      </x:c>
      <x:c r="E8" s="13" t="str">
        <x:v>Funder fit &amp; work design</x:v>
      </x:c>
      <x:c r="F8" s="13" t="str">
        <x:v>D07</x:v>
      </x:c>
      <x:c r="G8" s="13" t="str">
        <x:v>Mandate and eligibility fit</x:v>
      </x:c>
      <x:c r="H8" s="13" t="str">
        <x:v>B3 - Fit, Competitiveness &amp; Access</x:v>
      </x:c>
      <x:c r="I8" s="13" t="str"/>
      <x:c r="J8" s="13" t="str">
        <x:v>Our typical requested amount fits the funder's usual grant size</x:v>
      </x:c>
      <x:c r="K8" s="13" t="str">
        <x:v>Workplan realism before drafting</x:v>
      </x:c>
      <x:c r="L8" s="13" t="str">
        <x:v>Compare your usual ask with each funder's normal minimum, maximum, and average grant size.</x:v>
      </x:c>
      <x:c r="M8" s="13" t="str">
        <x:v>1 — Our ask is far outside usual grant sizes for target funders</x:v>
      </x:c>
      <x:c r="N8" s="13" t="str">
        <x:v>2 — Our ask may be too high/low for several targets</x:v>
      </x:c>
      <x:c r="O8" s="13" t="str">
        <x:v>3 — Some asks fit, but sizing needs adjustment by funder</x:v>
      </x:c>
      <x:c r="P8" s="13" t="str">
        <x:v>4 — Most asks fit target funder grant-size patterns</x:v>
      </x:c>
      <x:c r="Q8" s="13" t="str">
        <x:v>5 — Ask amounts are calibrated to each funder's grant-size range</x:v>
      </x:c>
      <x:c r="R8" s="13" t="str">
        <x:v>N/A — Not applicable / unsafe to answer</x:v>
      </x:c>
      <x:c r="S8" s="13" t="str">
        <x:v>Single choice score (1–5 + N/A)</x:v>
      </x:c>
      <x:c r="T8" s="13" t="str">
        <x:v>Funder fit &amp; work design; B3 Fit, Competitiveness &amp; Access; Eligibility; Proposal Review</x:v>
      </x:c>
      <x:c r="U8" s="13" t="str">
        <x:v>Original tested item G1.7 — statement and choices preserved</x:v>
      </x:c>
    </x:row>
    <x:row r="9">
      <x:c r="A9" s="13" t="str">
        <x:v>R04.07</x:v>
      </x:c>
      <x:c r="B9" s="13" t="str">
        <x:v>8</x:v>
      </x:c>
      <x:c r="C9" s="13" t="str">
        <x:v>G8</x:v>
      </x:c>
      <x:c r="D9" s="13" t="str">
        <x:v>R04</x:v>
      </x:c>
      <x:c r="E9" s="13" t="str">
        <x:v>Funder fit &amp; work design</x:v>
      </x:c>
      <x:c r="F9" s="13" t="str">
        <x:v>D07</x:v>
      </x:c>
      <x:c r="G9" s="13" t="str">
        <x:v>Mandate and eligibility fit</x:v>
      </x:c>
      <x:c r="H9" s="13" t="str">
        <x:v>B3 - Fit, Competitiveness &amp; Access</x:v>
      </x:c>
      <x:c r="I9" s="13" t="str"/>
      <x:c r="J9" s="13" t="str">
        <x:v>Our requested amount fits our own budget, track record, and systems</x:v>
      </x:c>
      <x:c r="K9" s="13" t="str">
        <x:v>True cost fit</x:v>
      </x:c>
      <x:c r="L9" s="13" t="str">
        <x:v>Check whether your ask is credible for your organisation's financial history, delivery capacity, controls, and evidence base.</x:v>
      </x:c>
      <x:c r="M9" s="13" t="str">
        <x:v>1 — The ask would look too large or risky for our current systems</x:v>
      </x:c>
      <x:c r="N9" s="13" t="str">
        <x:v>2 — The ask stretches our track record or controls significantly</x:v>
      </x:c>
      <x:c r="O9" s="13" t="str">
        <x:v>3 — The ask is possible but needs stronger justification or controls</x:v>
      </x:c>
      <x:c r="P9" s="13" t="str">
        <x:v>4 — The ask mostly fits our budget, record, and systems</x:v>
      </x:c>
      <x:c r="Q9" s="13" t="str">
        <x:v>5 — The ask is clearly proportional, credible, and well supported</x:v>
      </x:c>
      <x:c r="R9" s="13" t="str">
        <x:v>N/A — Not applicable / unsafe to answer</x:v>
      </x:c>
      <x:c r="S9" s="13" t="str">
        <x:v>Single choice score (1–5 + N/A)</x:v>
      </x:c>
      <x:c r="T9" s="13" t="str">
        <x:v>Funder fit &amp; work design; B3 Fit, Competitiveness &amp; Access; Eligibility; Proposal Review</x:v>
      </x:c>
      <x:c r="U9" s="13" t="str">
        <x:v>Original tested item G1.8 — statement and choices preserved</x:v>
      </x:c>
    </x:row>
    <x:row r="10">
      <x:c r="A10" s="13" t="str">
        <x:v>R04.08</x:v>
      </x:c>
      <x:c r="B10" s="13" t="str">
        <x:v>9</x:v>
      </x:c>
      <x:c r="C10" s="13" t="str">
        <x:v>G9</x:v>
      </x:c>
      <x:c r="D10" s="13" t="str">
        <x:v>R04</x:v>
      </x:c>
      <x:c r="E10" s="13" t="str">
        <x:v>Funder fit &amp; work design</x:v>
      </x:c>
      <x:c r="F10" s="13" t="str">
        <x:v>D07</x:v>
      </x:c>
      <x:c r="G10" s="13" t="str">
        <x:v>Mandate and eligibility fit</x:v>
      </x:c>
      <x:c r="H10" s="13" t="str">
        <x:v>B3 - Fit, Competitiveness &amp; Access</x:v>
      </x:c>
      <x:c r="I10" s="13" t="str"/>
      <x:c r="J10" s="13" t="str">
        <x:v>We apply to funders and grants that would not distort our mission, politics, community accountability, or safety</x:v>
      </x:c>
      <x:c r="K10" s="13" t="str">
        <x:v>Risk profile fit</x:v>
      </x:c>
      <x:c r="L10" s="13" t="str">
        <x:v>Assess whether funding targets protect the integrity, politics, safety, and accountability of the work.</x:v>
      </x:c>
      <x:c r="M10" s="13" t="str">
        <x:v>1 — Likely funding would pull us away from mission or create safety risk</x:v>
      </x:c>
      <x:c r="N10" s="13" t="str">
        <x:v>2 — Some targets may distort priorities or accountability</x:v>
      </x:c>
      <x:c r="O10" s="13" t="str">
        <x:v>3 — We notice mission risks but do not yet screen them consistently</x:v>
      </x:c>
      <x:c r="P10" s="13" t="str">
        <x:v>4 — We mostly screen funders for mission, politics, and safety fit</x:v>
      </x:c>
      <x:c r="Q10" s="13" t="str">
        <x:v>5 — We actively avoid misfit money and protect community accountability</x:v>
      </x:c>
      <x:c r="R10" s="13" t="str">
        <x:v>N/A — Not applicable / unsafe to answer</x:v>
      </x:c>
      <x:c r="S10" s="13" t="str">
        <x:v>Single choice score (1–5 + N/A)</x:v>
      </x:c>
      <x:c r="T10" s="13" t="str">
        <x:v>Funder fit &amp; work design; B3 Fit, Competitiveness &amp; Access; Eligibility; Proposal Review</x:v>
      </x:c>
      <x:c r="U10" s="13" t="str">
        <x:v>Original tested item G1.9 — statement and choices preserved</x:v>
      </x:c>
    </x:row>
    <x:row r="11">
      <x:c r="A11" s="13" t="str">
        <x:v>R05.01</x:v>
      </x:c>
      <x:c r="B11" s="13" t="str">
        <x:v>10</x:v>
      </x:c>
      <x:c r="C11" s="13" t="str">
        <x:v>G10</x:v>
      </x:c>
      <x:c r="D11" s="13" t="str">
        <x:v>R05</x:v>
      </x:c>
      <x:c r="E11" s="13" t="str">
        <x:v>Competitive positioning, appeal &amp; ROI</x:v>
      </x:c>
      <x:c r="F11" s="13" t="str">
        <x:v>D09</x:v>
      </x:c>
      <x:c r="G11" s="13" t="str">
        <x:v>Competitive positioning</x:v>
      </x:c>
      <x:c r="H11" s="13" t="str">
        <x:v>B3 - Fit, Competitiveness &amp; Access</x:v>
      </x:c>
      <x:c r="I11" s="13" t="str"/>
      <x:c r="J11" s="13" t="str">
        <x:v>We can clearly articulate what makes our approach, team, community relationship, or model different from others doing similar work</x:v>
      </x:c>
      <x:c r="K11" s="13" t="str">
        <x:v>Strategic distinctiveness</x:v>
      </x:c>
      <x:c r="L11" s="13" t="str">
        <x:v>Answer whether a funder can quickly understand your distinct value without needing a long explanation.</x:v>
      </x:c>
      <x:c r="M11" s="13" t="str">
        <x:v>1 — We cannot yet explain what makes us meaningfully different</x:v>
      </x:c>
      <x:c r="N11" s="13" t="str">
        <x:v>2 — Our difference is vague, generic, or identity-only</x:v>
      </x:c>
      <x:c r="O11" s="13" t="str">
        <x:v>3 — We can explain some differences but need sharper proof</x:v>
      </x:c>
      <x:c r="P11" s="13" t="str">
        <x:v>4 — Our distinct value is clear with minor refinement needed</x:v>
      </x:c>
      <x:c r="Q11" s="13" t="str">
        <x:v>5 — Our distinct value is compelling, evidenced, and easy to repeat</x:v>
      </x:c>
      <x:c r="R11" s="13" t="str">
        <x:v>N/A — Not applicable / unsafe to answer</x:v>
      </x:c>
      <x:c r="S11" s="13" t="str">
        <x:v>Single choice score (1–5 + N/A)</x:v>
      </x:c>
      <x:c r="T11" s="13" t="str">
        <x:v>Competitive positioning, appeal &amp; ROI; B3 Fit, Competitiveness &amp; Access; Proposal Review</x:v>
      </x:c>
      <x:c r="U11" s="13" t="str">
        <x:v>Original tested item G1.10 — statement and choices preserved</x:v>
      </x:c>
    </x:row>
    <x:row r="12">
      <x:c r="A12" s="13" t="str">
        <x:v>R11.01</x:v>
      </x:c>
      <x:c r="B12" s="13" t="str">
        <x:v>11</x:v>
      </x:c>
      <x:c r="C12" s="13" t="str">
        <x:v>G11</x:v>
      </x:c>
      <x:c r="D12" s="13" t="str">
        <x:v>R11</x:v>
      </x:c>
      <x:c r="E12" s="13" t="str">
        <x:v>Due diligence, finance &amp; risk</x:v>
      </x:c>
      <x:c r="F12" s="13" t="str">
        <x:v>D21</x:v>
      </x:c>
      <x:c r="G12" s="13" t="str">
        <x:v>Governance and controls</x:v>
      </x:c>
      <x:c r="H12" s="13" t="str">
        <x:v>B5 - Due Diligence, Operations &amp; Financial Viability</x:v>
      </x:c>
      <x:c r="I12" s="13" t="str"/>
      <x:c r="J12" s="13" t="str">
        <x:v>Our governance or oversight body is active and documented</x:v>
      </x:c>
      <x:c r="K12" s="13" t="str">
        <x:v>Governance accountability pack</x:v>
      </x:c>
      <x:c r="L12" s="13" t="str">
        <x:v>Check whether oversight is real, current, and traceable through meetings, decisions, minutes, or equivalent community/accountability records.</x:v>
      </x:c>
      <x:c r="M12" s="13" t="str">
        <x:v>1 — No active oversight body or current oversight record exists</x:v>
      </x:c>
      <x:c r="N12" s="13" t="str">
        <x:v>2 — Oversight exists but is informal, inactive, or poorly recorded</x:v>
      </x:c>
      <x:c r="O12" s="13" t="str">
        <x:v>3 — Oversight is present but documentation has gaps</x:v>
      </x:c>
      <x:c r="P12" s="13" t="str">
        <x:v>4 — Oversight is active and mostly documented</x:v>
      </x:c>
      <x:c r="Q12" s="13" t="str">
        <x:v>5 — Oversight is active, current, documented, and easy to verify</x:v>
      </x:c>
      <x:c r="R12" s="13" t="str">
        <x:v>N/A — Not applicable / unsafe to answer</x:v>
      </x:c>
      <x:c r="S12" s="13" t="str">
        <x:v>Single choice score (1–5 + N/A)</x:v>
      </x:c>
      <x:c r="T12" s="13" t="str">
        <x:v>Due diligence, finance &amp; risk; B5 Due Diligence, Operations &amp; Financial Viability; Due Diligence; Budget / Contract</x:v>
      </x:c>
      <x:c r="U12" s="13" t="str">
        <x:v>Original tested item G2.1 — statement and choices preserved</x:v>
      </x:c>
    </x:row>
    <x:row r="13">
      <x:c r="A13" s="13" t="str">
        <x:v>R11.02</x:v>
      </x:c>
      <x:c r="B13" s="13" t="str">
        <x:v>12</x:v>
      </x:c>
      <x:c r="C13" s="13" t="str">
        <x:v>G12</x:v>
      </x:c>
      <x:c r="D13" s="13" t="str">
        <x:v>R11</x:v>
      </x:c>
      <x:c r="E13" s="13" t="str">
        <x:v>Due diligence, finance &amp; risk</x:v>
      </x:c>
      <x:c r="F13" s="13" t="str">
        <x:v>D21</x:v>
      </x:c>
      <x:c r="G13" s="13" t="str">
        <x:v>Governance and controls</x:v>
      </x:c>
      <x:c r="H13" s="13" t="str">
        <x:v>B5 - Due Diligence, Operations &amp; Financial Viability</x:v>
      </x:c>
      <x:c r="I13" s="13" t="str"/>
      <x:c r="J13" s="13" t="str">
        <x:v>Our board or oversight body includes relevant expertise (finance, legal, sector, community, safeguarding, or governance)</x:v>
      </x:c>
      <x:c r="K13" s="13" t="str">
        <x:v>Board minutes and decision records</x:v>
      </x:c>
      <x:c r="L13" s="13" t="str">
        <x:v>Answer based on the actual skills and lived knowledge available in oversight, not titles alone.</x:v>
      </x:c>
      <x:c r="M13" s="13" t="str">
        <x:v>1 — Oversight lacks the expertise funders would expect for our risks</x:v>
      </x:c>
      <x:c r="N13" s="13" t="str">
        <x:v>2 — A few skills exist, but key finance/legal/sector gaps remain</x:v>
      </x:c>
      <x:c r="O13" s="13" t="str">
        <x:v>3 — Some relevant expertise is present but uneven</x:v>
      </x:c>
      <x:c r="P13" s="13" t="str">
        <x:v>4 — Most needed expertise is present with minor gaps</x:v>
      </x:c>
      <x:c r="Q13" s="13" t="str">
        <x:v>5 — Oversight expertise strongly matches our work, risks, and funding needs</x:v>
      </x:c>
      <x:c r="R13" s="13" t="str">
        <x:v>N/A — Not applicable / unsafe to answer</x:v>
      </x:c>
      <x:c r="S13" s="13" t="str">
        <x:v>Single choice score (1–5 + N/A)</x:v>
      </x:c>
      <x:c r="T13" s="13" t="str">
        <x:v>Due diligence, finance &amp; risk; B5 Due Diligence, Operations &amp; Financial Viability; Due Diligence; Budget / Contract</x:v>
      </x:c>
      <x:c r="U13" s="13" t="str">
        <x:v>Original tested item G2.2 — statement and choices preserved</x:v>
      </x:c>
    </x:row>
    <x:row r="14">
      <x:c r="A14" s="13" t="str">
        <x:v>R11.03</x:v>
      </x:c>
      <x:c r="B14" s="13" t="str">
        <x:v>13</x:v>
      </x:c>
      <x:c r="C14" s="13" t="str">
        <x:v>G13</x:v>
      </x:c>
      <x:c r="D14" s="13" t="str">
        <x:v>R11</x:v>
      </x:c>
      <x:c r="E14" s="13" t="str">
        <x:v>Due diligence, finance &amp; risk</x:v>
      </x:c>
      <x:c r="F14" s="13" t="str">
        <x:v>D21</x:v>
      </x:c>
      <x:c r="G14" s="13" t="str">
        <x:v>Governance and controls</x:v>
      </x:c>
      <x:c r="H14" s="13" t="str">
        <x:v>B5 - Due Diligence, Operations &amp; Financial Viability</x:v>
      </x:c>
      <x:c r="I14" s="13" t="str"/>
      <x:c r="J14" s="13" t="str">
        <x:v>Authority to sign agreements or approve large spending is clearly assigned</x:v>
      </x:c>
      <x:c r="K14" s="13" t="str">
        <x:v>Named role owners and timelines</x:v>
      </x:c>
      <x:c r="L14" s="13" t="str">
        <x:v>Check whether people know who can legally and operationally approve grants, contracts, and major spending.</x:v>
      </x:c>
      <x:c r="M14" s="13" t="str">
        <x:v>1 — No clear signing or large-spend authority exists</x:v>
      </x:c>
      <x:c r="N14" s="13" t="str">
        <x:v>2 — Authority exists informally or depends on one person</x:v>
      </x:c>
      <x:c r="O14" s="13" t="str">
        <x:v>3 — Authority is partly clear but not consistently documented</x:v>
      </x:c>
      <x:c r="P14" s="13" t="str">
        <x:v>4 — Authority is clear with minor documentation gaps</x:v>
      </x:c>
      <x:c r="Q14" s="13" t="str">
        <x:v>5 — Signing and approval authority is documented, current, and consistently used</x:v>
      </x:c>
      <x:c r="R14" s="13" t="str">
        <x:v>N/A — Not applicable / unsafe to answer</x:v>
      </x:c>
      <x:c r="S14" s="13" t="str">
        <x:v>Single choice score (1–5 + N/A)</x:v>
      </x:c>
      <x:c r="T14" s="13" t="str">
        <x:v>Due diligence, finance &amp; risk; B5 Due Diligence, Operations &amp; Financial Viability; Due Diligence; Budget / Contract</x:v>
      </x:c>
      <x:c r="U14" s="13" t="str">
        <x:v>Original tested item G2.3 — statement and choices preserved</x:v>
      </x:c>
    </x:row>
    <x:row r="15">
      <x:c r="A15" s="13" t="str">
        <x:v>R11.04</x:v>
      </x:c>
      <x:c r="B15" s="13" t="str">
        <x:v>14</x:v>
      </x:c>
      <x:c r="C15" s="13" t="str">
        <x:v>G14</x:v>
      </x:c>
      <x:c r="D15" s="13" t="str">
        <x:v>R11</x:v>
      </x:c>
      <x:c r="E15" s="13" t="str">
        <x:v>Due diligence, finance &amp; risk</x:v>
      </x:c>
      <x:c r="F15" s="13" t="str">
        <x:v>D21</x:v>
      </x:c>
      <x:c r="G15" s="13" t="str">
        <x:v>Governance and controls</x:v>
      </x:c>
      <x:c r="H15" s="13" t="str">
        <x:v>B5 - Due Diligence, Operations &amp; Financial Viability</x:v>
      </x:c>
      <x:c r="I15" s="13" t="str"/>
      <x:c r="J15" s="13" t="str">
        <x:v>Finance rules for approving and recording spending are active</x:v>
      </x:c>
      <x:c r="K15" s="13" t="str">
        <x:v>Safeguarding implementation evidence</x:v>
      </x:c>
      <x:c r="L15" s="13" t="str">
        <x:v>Answer based on whether finance rules are actually used in spending decisions and records.</x:v>
      </x:c>
      <x:c r="M15" s="13" t="str">
        <x:v>1 — No active spending approval or recording rules are used</x:v>
      </x:c>
      <x:c r="N15" s="13" t="str">
        <x:v>2 — Rules exist but are informal, outdated, or inconsistently followed</x:v>
      </x:c>
      <x:c r="O15" s="13" t="str">
        <x:v>3 — Rules are partly used but gaps appear under pressure</x:v>
      </x:c>
      <x:c r="P15" s="13" t="str">
        <x:v>4 — Rules are mostly followed with small improvement areas</x:v>
      </x:c>
      <x:c r="Q15" s="13" t="str">
        <x:v>5 — Finance rules are active, understood, and consistently evidenced</x:v>
      </x:c>
      <x:c r="R15" s="13" t="str">
        <x:v>N/A — Not applicable / unsafe to answer</x:v>
      </x:c>
      <x:c r="S15" s="13" t="str">
        <x:v>Single choice score (1–5 + N/A)</x:v>
      </x:c>
      <x:c r="T15" s="13" t="str">
        <x:v>Due diligence, finance &amp; risk; B5 Due Diligence, Operations &amp; Financial Viability; Due Diligence; Budget / Contract</x:v>
      </x:c>
      <x:c r="U15" s="13" t="str">
        <x:v>Original tested item G2.4 — statement and choices preserved</x:v>
      </x:c>
    </x:row>
    <x:row r="16">
      <x:c r="A16" s="13" t="str">
        <x:v>R11.05</x:v>
      </x:c>
      <x:c r="B16" s="13" t="str">
        <x:v>15</x:v>
      </x:c>
      <x:c r="C16" s="13" t="str">
        <x:v>G15</x:v>
      </x:c>
      <x:c r="D16" s="13" t="str">
        <x:v>R11</x:v>
      </x:c>
      <x:c r="E16" s="13" t="str">
        <x:v>Due diligence, finance &amp; risk</x:v>
      </x:c>
      <x:c r="F16" s="13" t="str">
        <x:v>D21</x:v>
      </x:c>
      <x:c r="G16" s="13" t="str">
        <x:v>Governance and controls</x:v>
      </x:c>
      <x:c r="H16" s="13" t="str">
        <x:v>B5 - Due Diligence, Operations &amp; Financial Viability</x:v>
      </x:c>
      <x:c r="I16" s="13" t="str"/>
      <x:c r="J16" s="13" t="str">
        <x:v>At least two people approve or check payments, especially larger amounts</x:v>
      </x:c>
      <x:c r="K16" s="13" t="str">
        <x:v>Finance policy readiness</x:v>
      </x:c>
      <x:c r="L16" s="13" t="str">
        <x:v>Check whether payment controls reduce error, misuse, pressure, and concentration of financial power.</x:v>
      </x:c>
      <x:c r="M16" s="13" t="str">
        <x:v>1 — One person can approve/pay without meaningful checks</x:v>
      </x:c>
      <x:c r="N16" s="13" t="str">
        <x:v>2 — Some checks exist but are irregular or too easy to bypass</x:v>
      </x:c>
      <x:c r="O16" s="13" t="str">
        <x:v>3 — Two-person checks happen for some payments but not consistently</x:v>
      </x:c>
      <x:c r="P16" s="13" t="str">
        <x:v>4 — Most payments, especially large ones, have two-person checks</x:v>
      </x:c>
      <x:c r="Q16" s="13" t="str">
        <x:v>5 — Payment approvals are consistently segregated and evidenced</x:v>
      </x:c>
      <x:c r="R16" s="13" t="str">
        <x:v>N/A — Not applicable / unsafe to answer</x:v>
      </x:c>
      <x:c r="S16" s="13" t="str">
        <x:v>Single choice score (1–5 + N/A)</x:v>
      </x:c>
      <x:c r="T16" s="13" t="str">
        <x:v>Due diligence, finance &amp; risk; B5 Due Diligence, Operations &amp; Financial Viability; Due Diligence; Budget / Contract</x:v>
      </x:c>
      <x:c r="U16" s="13" t="str">
        <x:v>Original tested item G2.5 — statement and choices preserved</x:v>
      </x:c>
    </x:row>
    <x:row r="17">
      <x:c r="A17" s="13" t="str">
        <x:v>R11.06</x:v>
      </x:c>
      <x:c r="B17" s="13" t="str">
        <x:v>16</x:v>
      </x:c>
      <x:c r="C17" s="13" t="str">
        <x:v>G16</x:v>
      </x:c>
      <x:c r="D17" s="13" t="str">
        <x:v>R11</x:v>
      </x:c>
      <x:c r="E17" s="13" t="str">
        <x:v>Due diligence, finance &amp; risk</x:v>
      </x:c>
      <x:c r="F17" s="13" t="str">
        <x:v>D21</x:v>
      </x:c>
      <x:c r="G17" s="13" t="str">
        <x:v>Governance and controls</x:v>
      </x:c>
      <x:c r="H17" s="13" t="str">
        <x:v>B5 - Due Diligence, Operations &amp; Financial Viability</x:v>
      </x:c>
      <x:c r="I17" s="13" t="str"/>
      <x:c r="J17" s="13" t="str">
        <x:v>Financial records are current enough to support a funding application</x:v>
      </x:c>
      <x:c r="K17" s="13" t="str">
        <x:v>Financial control visibility</x:v>
      </x:c>
      <x:c r="L17" s="13" t="str">
        <x:v>Answer whether your records are up to date enough to produce budgets, actuals, bank records, and explanations without panic.</x:v>
      </x:c>
      <x:c r="M17" s="13" t="str">
        <x:v>1 — Financial records are too outdated or incomplete to support an application</x:v>
      </x:c>
      <x:c r="N17" s="13" t="str">
        <x:v>2 — Records exist but would require major cleanup before applying</x:v>
      </x:c>
      <x:c r="O17" s="13" t="str">
        <x:v>3 — Records are usable but need reconciliation or explanation</x:v>
      </x:c>
      <x:c r="P17" s="13" t="str">
        <x:v>4 — Records are mostly current with minor cleanup needed</x:v>
      </x:c>
      <x:c r="Q17" s="13" t="str">
        <x:v>5 — Financial records are current, reconciled, and application-ready</x:v>
      </x:c>
      <x:c r="R17" s="13" t="str">
        <x:v>N/A — Not applicable / unsafe to answer</x:v>
      </x:c>
      <x:c r="S17" s="13" t="str">
        <x:v>Single choice score (1–5 + N/A)</x:v>
      </x:c>
      <x:c r="T17" s="13" t="str">
        <x:v>Due diligence, finance &amp; risk; B5 Due Diligence, Operations &amp; Financial Viability; Due Diligence; Budget / Contract</x:v>
      </x:c>
      <x:c r="U17" s="13" t="str">
        <x:v>Original tested item G2.6 — statement and choices preserved</x:v>
      </x:c>
    </x:row>
    <x:row r="18">
      <x:c r="A18" s="13" t="str">
        <x:v>R11.07</x:v>
      </x:c>
      <x:c r="B18" s="13" t="str">
        <x:v>17</x:v>
      </x:c>
      <x:c r="C18" s="13" t="str">
        <x:v>G17</x:v>
      </x:c>
      <x:c r="D18" s="13" t="str">
        <x:v>R11</x:v>
      </x:c>
      <x:c r="E18" s="13" t="str">
        <x:v>Due diligence, finance &amp; risk</x:v>
      </x:c>
      <x:c r="F18" s="13" t="str">
        <x:v>D21</x:v>
      </x:c>
      <x:c r="G18" s="13" t="str">
        <x:v>Governance and controls</x:v>
      </x:c>
      <x:c r="H18" s="13" t="str">
        <x:v>B5 - Due Diligence, Operations &amp; Financial Viability</x:v>
      </x:c>
      <x:c r="I18" s="13" t="str"/>
      <x:c r="J18" s="13" t="str">
        <x:v>Conflict-of-interest rules are in place and used</x:v>
      </x:c>
      <x:c r="K18" s="13" t="str">
        <x:v>Budget control and approval process</x:v>
      </x:c>
      <x:c r="L18" s="13" t="str">
        <x:v>Check whether conflicts are declared, discussed, managed, and recorded when decisions involve money, hiring, partnerships, or family/close networks.</x:v>
      </x:c>
      <x:c r="M18" s="13" t="str">
        <x:v>1 — No conflict-of-interest rules or practices are used</x:v>
      </x:c>
      <x:c r="N18" s="13" t="str">
        <x:v>2 — Rules exist on paper but are rarely applied</x:v>
      </x:c>
      <x:c r="O18" s="13" t="str">
        <x:v>3 — Conflicts are sometimes managed but not consistently recorded</x:v>
      </x:c>
      <x:c r="P18" s="13" t="str">
        <x:v>4 — Conflict rules are mostly used and documented</x:v>
      </x:c>
      <x:c r="Q18" s="13" t="str">
        <x:v>5 — Conflict practices are active, trusted, documented, and funder-ready</x:v>
      </x:c>
      <x:c r="R18" s="13" t="str">
        <x:v>N/A — Not applicable / unsafe to answer</x:v>
      </x:c>
      <x:c r="S18" s="13" t="str">
        <x:v>Single choice score (1–5 + N/A)</x:v>
      </x:c>
      <x:c r="T18" s="13" t="str">
        <x:v>Due diligence, finance &amp; risk; B5 Due Diligence, Operations &amp; Financial Viability; Due Diligence; Budget / Contract</x:v>
      </x:c>
      <x:c r="U18" s="13" t="str">
        <x:v>Original tested item G2.7 — statement and choices preserved</x:v>
      </x:c>
    </x:row>
    <x:row r="19">
      <x:c r="A19" s="13" t="str">
        <x:v>R11.08</x:v>
      </x:c>
      <x:c r="B19" s="13" t="str">
        <x:v>18</x:v>
      </x:c>
      <x:c r="C19" s="13" t="str">
        <x:v>G18</x:v>
      </x:c>
      <x:c r="D19" s="13" t="str">
        <x:v>R11</x:v>
      </x:c>
      <x:c r="E19" s="13" t="str">
        <x:v>Due diligence, finance &amp; risk</x:v>
      </x:c>
      <x:c r="F19" s="13" t="str">
        <x:v>D21</x:v>
      </x:c>
      <x:c r="G19" s="13" t="str">
        <x:v>Governance and controls</x:v>
      </x:c>
      <x:c r="H19" s="13" t="str">
        <x:v>B5 - Due Diligence, Operations &amp; Financial Viability</x:v>
      </x:c>
      <x:c r="I19" s="13" t="str"/>
      <x:c r="J19" s="13" t="str">
        <x:v>We can produce core verification documents quickly because they are organised, current, and safely shareable</x:v>
      </x:c>
      <x:c r="K19" s="13" t="str">
        <x:v>Procurement and reporting controls</x:v>
      </x:c>
      <x:c r="L19" s="13" t="str">
        <x:v>This checks document retrieval systems, not the quality of every document. Use the document checklist page for document-by-document status.</x:v>
      </x:c>
      <x:c r="M19" s="13" t="str">
        <x:v>1 — Core verification documents cannot be found or shared quickly</x:v>
      </x:c>
      <x:c r="N19" s="13" t="str">
        <x:v>2 — Some documents exist but are scattered, old, or unsafe to share</x:v>
      </x:c>
      <x:c r="O19" s="13" t="str">
        <x:v>3 — A basic document pack exists but needs updates or review</x:v>
      </x:c>
      <x:c r="P19" s="13" t="str">
        <x:v>4 — Most verification documents are organised and shareable within 48 hours</x:v>
      </x:c>
      <x:c r="Q19" s="13" t="str">
        <x:v>5 — A current, safe, funder-ready document pack is available within 48 hours</x:v>
      </x:c>
      <x:c r="R19" s="13" t="str">
        <x:v>N/A — Not applicable / unsafe to answer</x:v>
      </x:c>
      <x:c r="S19" s="13" t="str">
        <x:v>Single choice score (1–5 + N/A)</x:v>
      </x:c>
      <x:c r="T19" s="13" t="str">
        <x:v>Due diligence, finance &amp; risk; B5 Due Diligence, Operations &amp; Financial Viability; Due Diligence; Budget / Contract</x:v>
      </x:c>
      <x:c r="U19" s="13" t="str">
        <x:v>Original tested item G2.8 — statement and choices preserved</x:v>
      </x:c>
    </x:row>
    <x:row r="20">
      <x:c r="A20" s="13" t="str">
        <x:v>R07.01</x:v>
      </x:c>
      <x:c r="B20" s="13" t="str">
        <x:v>19</x:v>
      </x:c>
      <x:c r="C20" s="13" t="str">
        <x:v>G19</x:v>
      </x:c>
      <x:c r="D20" s="13" t="str">
        <x:v>R07</x:v>
      </x:c>
      <x:c r="E20" s="13" t="str">
        <x:v>Relationship, leadership &amp; visibility</x:v>
      </x:c>
      <x:c r="F20" s="13" t="str">
        <x:v>D13</x:v>
      </x:c>
      <x:c r="G20" s="13" t="str">
        <x:v>Relationship management</x:v>
      </x:c>
      <x:c r="H20" s="13" t="str">
        <x:v>B3 - Fit, Competitiveness &amp; Access</x:v>
      </x:c>
      <x:c r="I20" s="13" t="str"/>
      <x:c r="J20" s="13" t="str">
        <x:v>Our organisation can be verified safely through public information and platforms, such as a website, social media, reports, or trusted public references</x:v>
      </x:c>
      <x:c r="K20" s="13" t="str">
        <x:v>Relationship history tracking</x:v>
      </x:c>
      <x:c r="L20" s="13" t="str">
        <x:v>Assess whether a funder can confirm you are real, current, and credible without exposing anyone to unnecessary safety risk.</x:v>
      </x:c>
      <x:c r="M20" s="13" t="str">
        <x:v>1 — A funder would struggle to verify us safely from public signals</x:v>
      </x:c>
      <x:c r="N20" s="13" t="str">
        <x:v>2 — Public signals exist but are outdated, thin, or inconsistent</x:v>
      </x:c>
      <x:c r="O20" s="13" t="str">
        <x:v>3 — Verification is possible but needs stronger/current public signals</x:v>
      </x:c>
      <x:c r="P20" s="13" t="str">
        <x:v>4 — Public signals mostly confirm legitimacy and activity</x:v>
      </x:c>
      <x:c r="Q20" s="13" t="str">
        <x:v>5 — Public presence is current, safe, credible, and easy to verify</x:v>
      </x:c>
      <x:c r="R20" s="13" t="str">
        <x:v>N/A — Not applicable / unsafe to answer</x:v>
      </x:c>
      <x:c r="S20" s="13" t="str">
        <x:v>Single choice score (1–5 + N/A)</x:v>
      </x:c>
      <x:c r="T20" s="13" t="str">
        <x:v>Relationship, leadership &amp; visibility; B3 Fit, Competitiveness &amp; Access; Conversation; Award/Renewal</x:v>
      </x:c>
      <x:c r="U20" s="13" t="str">
        <x:v>Original tested item G2.9 — statement and choices preserved</x:v>
      </x:c>
    </x:row>
    <x:row r="21">
      <x:c r="A21" s="13" t="str">
        <x:v>R08.01</x:v>
      </x:c>
      <x:c r="B21" s="13" t="str">
        <x:v>20</x:v>
      </x:c>
      <x:c r="C21" s="13" t="str">
        <x:v>G20</x:v>
      </x:c>
      <x:c r="D21" s="13" t="str">
        <x:v>R08</x:v>
      </x:c>
      <x:c r="E21" s="13" t="str">
        <x:v>Application quality &amp; storytelling</x:v>
      </x:c>
      <x:c r="F21" s="13" t="str">
        <x:v>D15</x:v>
      </x:c>
      <x:c r="G21" s="13" t="str">
        <x:v>Application clarity and storytelling</x:v>
      </x:c>
      <x:c r="H21" s="13" t="str">
        <x:v>B4 - Proposal, Proof, Trust &amp; Ethics</x:v>
      </x:c>
      <x:c r="I21" s="13" t="str"/>
      <x:c r="J21" s="13" t="str">
        <x:v>Our work can be explained and understood by anyone in two simple sentences</x:v>
      </x:c>
      <x:c r="K21" s="13" t="str">
        <x:v>Problem statement precision</x:v>
      </x:c>
      <x:c r="L21" s="13" t="str">
        <x:v>Test whether a person outside your field can quickly understand what you do, for whom, and why it matters.</x:v>
      </x:c>
      <x:c r="M21" s="13" t="str">
        <x:v>1 — We cannot explain the work simply without long background</x:v>
      </x:c>
      <x:c r="N21" s="13" t="str">
        <x:v>2 — The explanation is too abstract, broad, or insider-heavy</x:v>
      </x:c>
      <x:c r="O21" s="13" t="str">
        <x:v>3 — A basic explanation exists but needs sharper language</x:v>
      </x:c>
      <x:c r="P21" s="13" t="str">
        <x:v>4 — The work is mostly clear in two simple sentences</x:v>
      </x:c>
      <x:c r="Q21" s="13" t="str">
        <x:v>5 — The work is instantly clear, specific, and funder-readable</x:v>
      </x:c>
      <x:c r="R21" s="13" t="str">
        <x:v>N/A — Not applicable / unsafe to answer</x:v>
      </x:c>
      <x:c r="S21" s="13" t="str">
        <x:v>Single choice score (1–5 + N/A)</x:v>
      </x:c>
      <x:c r="T21" s="13" t="str">
        <x:v>Application quality &amp; storytelling; B4 Proposal, Proof, Trust &amp; Ethics; Application Submitted; Proposal Review</x:v>
      </x:c>
      <x:c r="U21" s="13" t="str">
        <x:v>Original tested item G3.1 — statement and choices preserved</x:v>
      </x:c>
    </x:row>
    <x:row r="22">
      <x:c r="A22" s="13" t="str">
        <x:v>R08.02</x:v>
      </x:c>
      <x:c r="B22" s="13" t="str">
        <x:v>21</x:v>
      </x:c>
      <x:c r="C22" s="13" t="str">
        <x:v>G21</x:v>
      </x:c>
      <x:c r="D22" s="13" t="str">
        <x:v>R08</x:v>
      </x:c>
      <x:c r="E22" s="13" t="str">
        <x:v>Application quality &amp; storytelling</x:v>
      </x:c>
      <x:c r="F22" s="13" t="str">
        <x:v>D15</x:v>
      </x:c>
      <x:c r="G22" s="13" t="str">
        <x:v>Application clarity and storytelling</x:v>
      </x:c>
      <x:c r="H22" s="13" t="str">
        <x:v>B4 - Proposal, Proof, Trust &amp; Ethics</x:v>
      </x:c>
      <x:c r="I22" s="13" t="str"/>
      <x:c r="J22" s="13" t="str">
        <x:v>Our change logic is mapped from what we do to what that changes</x:v>
      </x:c>
      <x:c r="K22" s="13" t="str">
        <x:v>Theory of change clarity</x:v>
      </x:c>
      <x:c r="L22" s="13" t="str">
        <x:v>Check whether activities, outputs, outcomes, and longer-term change connect logically.</x:v>
      </x:c>
      <x:c r="M22" s="13" t="str">
        <x:v>1 — Activities are not clearly linked to change</x:v>
      </x:c>
      <x:c r="N22" s="13" t="str">
        <x:v>2 — Links between activities and change are mostly assumed</x:v>
      </x:c>
      <x:c r="O22" s="13" t="str">
        <x:v>3 — A basic logic exists but has gaps or weak evidence</x:v>
      </x:c>
      <x:c r="P22" s="13" t="str">
        <x:v>4 — The change pathway is mostly clear and usable</x:v>
      </x:c>
      <x:c r="Q22" s="13" t="str">
        <x:v>5 — The change logic is clear, evidenced, and proposal-ready</x:v>
      </x:c>
      <x:c r="R22" s="13" t="str">
        <x:v>N/A — Not applicable / unsafe to answer</x:v>
      </x:c>
      <x:c r="S22" s="13" t="str">
        <x:v>Single choice score (1–5 + N/A)</x:v>
      </x:c>
      <x:c r="T22" s="13" t="str">
        <x:v>Application quality &amp; storytelling; B4 Proposal, Proof, Trust &amp; Ethics; Application Submitted; Proposal Review</x:v>
      </x:c>
      <x:c r="U22" s="13" t="str">
        <x:v>Original tested item G3.2 — statement and choices preserved</x:v>
      </x:c>
    </x:row>
    <x:row r="23">
      <x:c r="A23" s="13" t="str">
        <x:v>R08.03</x:v>
      </x:c>
      <x:c r="B23" s="13" t="str">
        <x:v>22</x:v>
      </x:c>
      <x:c r="C23" s="13" t="str">
        <x:v>G22</x:v>
      </x:c>
      <x:c r="D23" s="13" t="str">
        <x:v>R08</x:v>
      </x:c>
      <x:c r="E23" s="13" t="str">
        <x:v>Application quality &amp; storytelling</x:v>
      </x:c>
      <x:c r="F23" s="13" t="str">
        <x:v>D15</x:v>
      </x:c>
      <x:c r="G23" s="13" t="str">
        <x:v>Application clarity and storytelling</x:v>
      </x:c>
      <x:c r="H23" s="13" t="str">
        <x:v>B4 - Proposal, Proof, Trust &amp; Ethics</x:v>
      </x:c>
      <x:c r="I23" s="13" t="str"/>
      <x:c r="J23" s="13" t="str">
        <x:v>The problem we address is specific and bounded, not “everything everywhere”</x:v>
      </x:c>
      <x:c r="K23" s="13" t="str">
        <x:v>Human story and specificity</x:v>
      </x:c>
      <x:c r="L23" s="13" t="str">
        <x:v>Assess whether your problem statement is focused enough for funders to understand what their money can help change.</x:v>
      </x:c>
      <x:c r="M23" s="13" t="str">
        <x:v>1 — The problem is too broad for a funder to assess</x:v>
      </x:c>
      <x:c r="N23" s="13" t="str">
        <x:v>2 — The problem is important but still vague or over-expanded</x:v>
      </x:c>
      <x:c r="O23" s="13" t="str">
        <x:v>3 — The problem is partly bounded but needs sharper scope</x:v>
      </x:c>
      <x:c r="P23" s="13" t="str">
        <x:v>4 — The problem is specific enough with small refinements needed</x:v>
      </x:c>
      <x:c r="Q23" s="13" t="str">
        <x:v>5 — The problem is specific, bounded, and clearly fundable</x:v>
      </x:c>
      <x:c r="R23" s="13" t="str">
        <x:v>N/A — Not applicable / unsafe to answer</x:v>
      </x:c>
      <x:c r="S23" s="13" t="str">
        <x:v>Single choice score (1–5 + N/A)</x:v>
      </x:c>
      <x:c r="T23" s="13" t="str">
        <x:v>Application quality &amp; storytelling; B4 Proposal, Proof, Trust &amp; Ethics; Application Submitted; Proposal Review</x:v>
      </x:c>
      <x:c r="U23" s="13" t="str">
        <x:v>Original tested item G3.3 — statement and choices preserved</x:v>
      </x:c>
    </x:row>
    <x:row r="24">
      <x:c r="A24" s="13" t="str">
        <x:v>R09.01</x:v>
      </x:c>
      <x:c r="B24" s="13" t="str">
        <x:v>23</x:v>
      </x:c>
      <x:c r="C24" s="13" t="str">
        <x:v>G23</x:v>
      </x:c>
      <x:c r="D24" s="13" t="str">
        <x:v>R09</x:v>
      </x:c>
      <x:c r="E24" s="13" t="str">
        <x:v>Coherence, evidence &amp; social proof</x:v>
      </x:c>
      <x:c r="F24" s="13" t="str">
        <x:v>D17</x:v>
      </x:c>
      <x:c r="G24" s="13" t="str">
        <x:v>Evidence readiness</x:v>
      </x:c>
      <x:c r="H24" s="13" t="str">
        <x:v>B4 - Proposal, Proof, Trust &amp; Ethics</x:v>
      </x:c>
      <x:c r="I24" s="13" t="str"/>
      <x:c r="J24" s="13" t="str">
        <x:v>The impact our work has is real and we can show it</x:v>
      </x:c>
      <x:c r="K24" s="13" t="str">
        <x:v>Evidence linked to major claims</x:v>
      </x:c>
      <x:c r="L24" s="13" t="str">
        <x:v>Answer using evidence of change: results, feedback, stories, data, shifts, cases, wins, or community validation.</x:v>
      </x:c>
      <x:c r="M24" s="13" t="str">
        <x:v>1 — We cannot yet show credible impact from the work</x:v>
      </x:c>
      <x:c r="N24" s="13" t="str">
        <x:v>2 — Impact is described mainly through belief or anecdotes</x:v>
      </x:c>
      <x:c r="O24" s="13" t="str">
        <x:v>3 — Some impact evidence exists but is incomplete or scattered</x:v>
      </x:c>
      <x:c r="P24" s="13" t="str">
        <x:v>4 — Impact is mostly visible through credible evidence</x:v>
      </x:c>
      <x:c r="Q24" s="13" t="str">
        <x:v>5 — Impact is clearly demonstrated through strong, ethical evidence</x:v>
      </x:c>
      <x:c r="R24" s="13" t="str">
        <x:v>N/A — Not applicable / unsafe to answer</x:v>
      </x:c>
      <x:c r="S24" s="13" t="str">
        <x:v>Single choice score (1–5 + N/A)</x:v>
      </x:c>
      <x:c r="T24" s="13" t="str">
        <x:v>Coherence, evidence &amp; social proof; B4 Proposal, Proof, Trust &amp; Ethics; Proposal Review; Due Diligence</x:v>
      </x:c>
      <x:c r="U24" s="13" t="str">
        <x:v>Original tested item G3.4 — statement and choices preserved</x:v>
      </x:c>
    </x:row>
    <x:row r="25">
      <x:c r="A25" s="13" t="str">
        <x:v>R08.04</x:v>
      </x:c>
      <x:c r="B25" s="13" t="str">
        <x:v>24</x:v>
      </x:c>
      <x:c r="C25" s="13" t="str">
        <x:v>G24</x:v>
      </x:c>
      <x:c r="D25" s="13" t="str">
        <x:v>R08</x:v>
      </x:c>
      <x:c r="E25" s="13" t="str">
        <x:v>Application quality &amp; storytelling</x:v>
      </x:c>
      <x:c r="F25" s="13" t="str">
        <x:v>D15</x:v>
      </x:c>
      <x:c r="G25" s="13" t="str">
        <x:v>Application clarity and storytelling</x:v>
      </x:c>
      <x:c r="H25" s="13" t="str">
        <x:v>B4 - Proposal, Proof, Trust &amp; Ethics</x:v>
      </x:c>
      <x:c r="I25" s="13" t="str"/>
      <x:c r="J25" s="13" t="str">
        <x:v>Our narrative assets are ready for funding conversations, such as an organisational profile, concept note, pitch, story bank, or case studies</x:v>
      </x:c>
      <x:c r="K25" s="13" t="str">
        <x:v>Funder-aligned framing</x:v>
      </x:c>
      <x:c r="L25" s="13" t="str">
        <x:v>Check whether you have reusable narrative materials that can be adapted quickly without starting from zero.</x:v>
      </x:c>
      <x:c r="M25" s="13" t="str">
        <x:v>1 — No reusable narrative assets are ready</x:v>
      </x:c>
      <x:c r="N25" s="13" t="str">
        <x:v>2 — A few assets exist but are outdated or too rough to share</x:v>
      </x:c>
      <x:c r="O25" s="13" t="str">
        <x:v>3 — Some usable assets exist but need alignment and polish</x:v>
      </x:c>
      <x:c r="P25" s="13" t="str">
        <x:v>4 — Most narrative assets are current and easy to adapt</x:v>
      </x:c>
      <x:c r="Q25" s="13" t="str">
        <x:v>5 — Narrative assets are current, coherent, ethical, and funder-ready</x:v>
      </x:c>
      <x:c r="R25" s="13" t="str">
        <x:v>N/A — Not applicable / unsafe to answer</x:v>
      </x:c>
      <x:c r="S25" s="13" t="str">
        <x:v>Single choice score (1–5 + N/A)</x:v>
      </x:c>
      <x:c r="T25" s="13" t="str">
        <x:v>Application quality &amp; storytelling; B4 Proposal, Proof, Trust &amp; Ethics; Application Submitted; Proposal Review</x:v>
      </x:c>
      <x:c r="U25" s="13" t="str">
        <x:v>Original tested item G3.5 — statement and choices preserved</x:v>
      </x:c>
    </x:row>
    <x:row r="26">
      <x:c r="A26" s="13" t="str">
        <x:v>R09.02</x:v>
      </x:c>
      <x:c r="B26" s="13" t="str">
        <x:v>25</x:v>
      </x:c>
      <x:c r="C26" s="13" t="str">
        <x:v>G25</x:v>
      </x:c>
      <x:c r="D26" s="13" t="str">
        <x:v>R09</x:v>
      </x:c>
      <x:c r="E26" s="13" t="str">
        <x:v>Coherence, evidence &amp; social proof</x:v>
      </x:c>
      <x:c r="F26" s="13" t="str">
        <x:v>D17</x:v>
      </x:c>
      <x:c r="G26" s="13" t="str">
        <x:v>Evidence readiness</x:v>
      </x:c>
      <x:c r="H26" s="13" t="str">
        <x:v>B4 - Proposal, Proof, Trust &amp; Ethics</x:v>
      </x:c>
      <x:c r="I26" s="13" t="str"/>
      <x:c r="J26" s="13" t="str">
        <x:v>Our evidence of work and results is ready, such as attendance records, feedback, outputs, outcomes, stories, media, references, or MEL data</x:v>
      </x:c>
      <x:c r="K26" s="13" t="str">
        <x:v>Budget narrative coherence</x:v>
      </x:c>
      <x:c r="L26" s="13" t="str">
        <x:v>Check whether evidence is accessible, credible, and connected to the claims you make.</x:v>
      </x:c>
      <x:c r="M26" s="13" t="str">
        <x:v>1 — Evidence is missing or too scattered to support claims</x:v>
      </x:c>
      <x:c r="N26" s="13" t="str">
        <x:v>2 — Some evidence exists but is weak, old, or hard to connect</x:v>
      </x:c>
      <x:c r="O26" s="13" t="str">
        <x:v>3 — Evidence supports some claims but has important gaps</x:v>
      </x:c>
      <x:c r="P26" s="13" t="str">
        <x:v>4 — Most claims are supported by accessible evidence</x:v>
      </x:c>
      <x:c r="Q26" s="13" t="str">
        <x:v>5 — Evidence is strong, current, ethical, and easy to use in proposals</x:v>
      </x:c>
      <x:c r="R26" s="13" t="str">
        <x:v>N/A — Not applicable / unsafe to answer</x:v>
      </x:c>
      <x:c r="S26" s="13" t="str">
        <x:v>Single choice score (1–5 + N/A)</x:v>
      </x:c>
      <x:c r="T26" s="13" t="str">
        <x:v>Coherence, evidence &amp; social proof; B4 Proposal, Proof, Trust &amp; Ethics; Proposal Review; Due Diligence</x:v>
      </x:c>
      <x:c r="U26" s="13" t="str">
        <x:v>Original tested item G3.6 — statement and choices preserved</x:v>
      </x:c>
    </x:row>
    <x:row r="27">
      <x:c r="A27" s="13" t="str">
        <x:v>R10.01</x:v>
      </x:c>
      <x:c r="B27" s="13" t="str">
        <x:v>26</x:v>
      </x:c>
      <x:c r="C27" s="13" t="str">
        <x:v>G26</x:v>
      </x:c>
      <x:c r="D27" s="13" t="str">
        <x:v>R10</x:v>
      </x:c>
      <x:c r="E27" s="13" t="str">
        <x:v>Safeguarding &amp; protected proof</x:v>
      </x:c>
      <x:c r="F27" s="13" t="str">
        <x:v>D19</x:v>
      </x:c>
      <x:c r="G27" s="13" t="str">
        <x:v>Safeguarding and ethics</x:v>
      </x:c>
      <x:c r="H27" s="13" t="str">
        <x:v>B4 - Proposal, Proof, Trust &amp; Ethics</x:v>
      </x:c>
      <x:c r="I27" s="13" t="str"/>
      <x:c r="J27" s="13" t="str">
        <x:v>Community stories are consent-based and dignity-preserving</x:v>
      </x:c>
      <x:c r="K27" s="13" t="str">
        <x:v>Safeguarding policy readiness</x:v>
      </x:c>
      <x:c r="L27" s="13" t="str">
        <x:v>Assess whether stories, photos, quotes, and examples are collected and shared with consent, care, and safety.</x:v>
      </x:c>
      <x:c r="M27" s="13" t="str">
        <x:v>1 — Stories are used without clear consent or dignity safeguards</x:v>
      </x:c>
      <x:c r="N27" s="13" t="str">
        <x:v>2 — Consent is inconsistent or not well documented</x:v>
      </x:c>
      <x:c r="O27" s="13" t="str">
        <x:v>3 — Some story safeguards exist but need stronger practice</x:v>
      </x:c>
      <x:c r="P27" s="13" t="str">
        <x:v>4 — Most stories are consent-based and dignity-preserving</x:v>
      </x:c>
      <x:c r="Q27" s="13" t="str">
        <x:v>5 — Story practice is ethical, documented, safe, and community-accountable</x:v>
      </x:c>
      <x:c r="R27" s="13" t="str">
        <x:v>N/A — Not applicable / unsafe to answer</x:v>
      </x:c>
      <x:c r="S27" s="13" t="str">
        <x:v>Single choice score (1–5 + N/A)</x:v>
      </x:c>
      <x:c r="T27" s="13" t="str">
        <x:v>Safeguarding &amp; protected proof; B4 Proposal, Proof, Trust &amp; Ethics; Proposal Review; Due Diligence</x:v>
      </x:c>
      <x:c r="U27" s="13" t="str">
        <x:v>Original tested item G3.7 — statement and choices preserved</x:v>
      </x:c>
    </x:row>
    <x:row r="28">
      <x:c r="A28" s="13" t="str">
        <x:v>R05.02</x:v>
      </x:c>
      <x:c r="B28" s="13" t="str">
        <x:v>27</x:v>
      </x:c>
      <x:c r="C28" s="13" t="str">
        <x:v>G27</x:v>
      </x:c>
      <x:c r="D28" s="13" t="str">
        <x:v>R05</x:v>
      </x:c>
      <x:c r="E28" s="13" t="str">
        <x:v>Competitive positioning, appeal &amp; ROI</x:v>
      </x:c>
      <x:c r="F28" s="13" t="str">
        <x:v>D09</x:v>
      </x:c>
      <x:c r="G28" s="13" t="str">
        <x:v>Competitive positioning</x:v>
      </x:c>
      <x:c r="H28" s="13" t="str">
        <x:v>B3 - Fit, Competitiveness &amp; Access</x:v>
      </x:c>
      <x:c r="I28" s="13" t="str"/>
      <x:c r="J28" s="13" t="str">
        <x:v>Our proposals clearly show why we are well placed to do the work beyond our identity</x:v>
      </x:c>
      <x:c r="K28" s="13" t="str">
        <x:v>Funder value case clarity</x:v>
      </x:c>
      <x:c r="L28" s="13" t="str">
        <x:v>Identity and lived experience matter, but funders also need to see capability, relationships, method, and track record.</x:v>
      </x:c>
      <x:c r="M28" s="13" t="str">
        <x:v>1 — Proposals rely on identity without showing capability or method</x:v>
      </x:c>
      <x:c r="N28" s="13" t="str">
        <x:v>2 — Capability is implied but not clearly evidenced</x:v>
      </x:c>
      <x:c r="O28" s="13" t="str">
        <x:v>3 — Some capability is shown but the case needs strengthening</x:v>
      </x:c>
      <x:c r="P28" s="13" t="str">
        <x:v>4 — Proposals mostly show why we are well placed</x:v>
      </x:c>
      <x:c r="Q28" s="13" t="str">
        <x:v>5 — Proposals clearly combine identity, capability, evidence, and trust</x:v>
      </x:c>
      <x:c r="R28" s="13" t="str">
        <x:v>N/A — Not applicable / unsafe to answer</x:v>
      </x:c>
      <x:c r="S28" s="13" t="str">
        <x:v>Single choice score (1–5 + N/A)</x:v>
      </x:c>
      <x:c r="T28" s="13" t="str">
        <x:v>Competitive positioning, appeal &amp; ROI; B3 Fit, Competitiveness &amp; Access; Proposal Review</x:v>
      </x:c>
      <x:c r="U28" s="13" t="str">
        <x:v>Original tested item G3.8 — statement and choices preserved</x:v>
      </x:c>
    </x:row>
    <x:row r="29">
      <x:c r="A29" s="13" t="str">
        <x:v>R08.05</x:v>
      </x:c>
      <x:c r="B29" s="13" t="str">
        <x:v>28</x:v>
      </x:c>
      <x:c r="C29" s="13" t="str">
        <x:v>G28</x:v>
      </x:c>
      <x:c r="D29" s="13" t="str">
        <x:v>R08</x:v>
      </x:c>
      <x:c r="E29" s="13" t="str">
        <x:v>Application quality &amp; storytelling</x:v>
      </x:c>
      <x:c r="F29" s="13" t="str">
        <x:v>D15</x:v>
      </x:c>
      <x:c r="G29" s="13" t="str">
        <x:v>Application clarity and storytelling</x:v>
      </x:c>
      <x:c r="H29" s="13" t="str">
        <x:v>B4 - Proposal, Proof, Trust &amp; Ethics</x:v>
      </x:c>
      <x:c r="I29" s="13" t="str"/>
      <x:c r="J29" s="13" t="str">
        <x:v>Our budget, workplan, and narrative tell the same coherent story</x:v>
      </x:c>
      <x:c r="K29" s="13" t="str">
        <x:v>Ask clarity</x:v>
      </x:c>
      <x:c r="L29" s="13" t="str">
        <x:v>Check whether the money, activities, timeline, staffing, and promised results match each other.</x:v>
      </x:c>
      <x:c r="M29" s="13" t="str">
        <x:v>1 — Budget, workplan, and narrative contradict or confuse each other</x:v>
      </x:c>
      <x:c r="N29" s="13" t="str">
        <x:v>2 — Alignment is weak and would raise funder questions</x:v>
      </x:c>
      <x:c r="O29" s="13" t="str">
        <x:v>3 — The pieces mostly connect but several gaps need fixing</x:v>
      </x:c>
      <x:c r="P29" s="13" t="str">
        <x:v>4 — The pieces are coherent with minor adjustments needed</x:v>
      </x:c>
      <x:c r="Q29" s="13" t="str">
        <x:v>5 — Budget, workplan, and narrative are fully aligned and credible</x:v>
      </x:c>
      <x:c r="R29" s="13" t="str">
        <x:v>N/A — Not applicable / unsafe to answer</x:v>
      </x:c>
      <x:c r="S29" s="13" t="str">
        <x:v>Single choice score (1–5 + N/A)</x:v>
      </x:c>
      <x:c r="T29" s="13" t="str">
        <x:v>Application quality &amp; storytelling; B4 Proposal, Proof, Trust &amp; Ethics; Application Submitted; Proposal Review</x:v>
      </x:c>
      <x:c r="U29" s="13" t="str">
        <x:v>Original tested item G3.9 — statement and choices preserved</x:v>
      </x:c>
    </x:row>
    <x:row r="30">
      <x:c r="A30" s="13" t="str">
        <x:v>R05.03</x:v>
      </x:c>
      <x:c r="B30" s="13" t="str">
        <x:v>29</x:v>
      </x:c>
      <x:c r="C30" s="13" t="str">
        <x:v>G29</x:v>
      </x:c>
      <x:c r="D30" s="13" t="str">
        <x:v>R05</x:v>
      </x:c>
      <x:c r="E30" s="13" t="str">
        <x:v>Competitive positioning, appeal &amp; ROI</x:v>
      </x:c>
      <x:c r="F30" s="13" t="str">
        <x:v>D09</x:v>
      </x:c>
      <x:c r="G30" s="13" t="str">
        <x:v>Competitive positioning</x:v>
      </x:c>
      <x:c r="H30" s="13" t="str">
        <x:v>B3 - Fit, Competitiveness &amp; Access</x:v>
      </x:c>
      <x:c r="I30" s="13" t="str"/>
      <x:c r="J30" s="13" t="str">
        <x:v>Our funding language feels grounded, human, and specific, not generic, over-polished, or detached from actual realities</x:v>
      </x:c>
      <x:c r="K30" s="13" t="str">
        <x:v>Return-on-investment and outcome logic</x:v>
      </x:c>
      <x:c r="L30" s="13" t="str">
        <x:v>Check whether proposals sound like your real work, place, people, and evidence — not copied buzzwords or AI-polished language without substance.</x:v>
      </x:c>
      <x:c r="M30" s="13" t="str">
        <x:v>1 — Language is generic, detached, or unlikely to feel real to a funder</x:v>
      </x:c>
      <x:c r="N30" s="13" t="str">
        <x:v>2 — Some grounded detail exists, but buzzwords or over-polished phrasing dominate</x:v>
      </x:c>
      <x:c r="O30" s="13" t="str">
        <x:v>3 — Language mixes real detail with generic wording and needs sharper evidence</x:v>
      </x:c>
      <x:c r="P30" s="13" t="str">
        <x:v>4 — Language is mostly specific, human, and grounded with minor refinements needed</x:v>
      </x:c>
      <x:c r="Q30" s="13" t="str">
        <x:v>5 — Language is compelling, specific, ethical, and clearly rooted in real work</x:v>
      </x:c>
      <x:c r="R30" s="13" t="str">
        <x:v>N/A — Not applicable / unsafe to answer</x:v>
      </x:c>
      <x:c r="S30" s="13" t="str">
        <x:v>Single choice score (1–5 + N/A)</x:v>
      </x:c>
      <x:c r="T30" s="13" t="str">
        <x:v>Competitive positioning, appeal &amp; ROI; B3 Fit, Competitiveness &amp; Access; Proposal Review</x:v>
      </x:c>
      <x:c r="U30" s="13" t="str">
        <x:v>Original tested item G3.10 — statement and choices preserved</x:v>
      </x:c>
    </x:row>
    <x:row r="31">
      <x:c r="A31" s="13" t="str">
        <x:v>R09.03</x:v>
      </x:c>
      <x:c r="B31" s="13" t="str">
        <x:v>30</x:v>
      </x:c>
      <x:c r="C31" s="13" t="str">
        <x:v>G30</x:v>
      </x:c>
      <x:c r="D31" s="13" t="str">
        <x:v>R09</x:v>
      </x:c>
      <x:c r="E31" s="13" t="str">
        <x:v>Coherence, evidence &amp; social proof</x:v>
      </x:c>
      <x:c r="F31" s="13" t="str">
        <x:v>D17</x:v>
      </x:c>
      <x:c r="G31" s="13" t="str">
        <x:v>Evidence readiness</x:v>
      </x:c>
      <x:c r="H31" s="13" t="str">
        <x:v>B4 - Proposal, Proof, Trust &amp; Ethics</x:v>
      </x:c>
      <x:c r="I31" s="13" t="str"/>
      <x:c r="J31" s="13" t="str">
        <x:v>Our oversight body (board, steering committee, elders, or equivalent) met, decided, and documented meetings and outcomes in the last 12 months</x:v>
      </x:c>
      <x:c r="K31" s="13" t="str">
        <x:v>Workplan and activity alignment</x:v>
      </x:c>
      <x:c r="L31" s="13" t="str">
        <x:v>Check whether oversight has recent activity, decisions, and records that demonstrate accountability.</x:v>
      </x:c>
      <x:c r="M31" s="13" t="str">
        <x:v>1 — No recent oversight meetings or decisions are documented</x:v>
      </x:c>
      <x:c r="N31" s="13" t="str">
        <x:v>2 — Meetings happened informally but records are weak or missing</x:v>
      </x:c>
      <x:c r="O31" s="13" t="str">
        <x:v>3 — Some meetings/decisions are documented but gaps remain</x:v>
      </x:c>
      <x:c r="P31" s="13" t="str">
        <x:v>4 — Recent oversight activity is mostly documented</x:v>
      </x:c>
      <x:c r="Q31" s="13" t="str">
        <x:v>5 — Oversight meetings, decisions, and outcomes are current and well recorded</x:v>
      </x:c>
      <x:c r="R31" s="13" t="str">
        <x:v>N/A — Not applicable / unsafe to answer</x:v>
      </x:c>
      <x:c r="S31" s="13" t="str">
        <x:v>Single choice score (1–5 + N/A)</x:v>
      </x:c>
      <x:c r="T31" s="13" t="str">
        <x:v>Coherence, evidence &amp; social proof; B4 Proposal, Proof, Trust &amp; Ethics; Proposal Review; Due Diligence</x:v>
      </x:c>
      <x:c r="U31" s="13" t="str">
        <x:v>Original tested item G4.1 — statement and choices preserved</x:v>
      </x:c>
    </x:row>
    <x:row r="32">
      <x:c r="A32" s="13" t="str">
        <x:v>R09.04</x:v>
      </x:c>
      <x:c r="B32" s="13" t="str">
        <x:v>31</x:v>
      </x:c>
      <x:c r="C32" s="13" t="str">
        <x:v>G31</x:v>
      </x:c>
      <x:c r="D32" s="13" t="str">
        <x:v>R09</x:v>
      </x:c>
      <x:c r="E32" s="13" t="str">
        <x:v>Coherence, evidence &amp; social proof</x:v>
      </x:c>
      <x:c r="F32" s="13" t="str">
        <x:v>D17</x:v>
      </x:c>
      <x:c r="G32" s="13" t="str">
        <x:v>Evidence readiness</x:v>
      </x:c>
      <x:c r="H32" s="13" t="str">
        <x:v>B4 - Proposal, Proof, Trust &amp; Ethics</x:v>
      </x:c>
      <x:c r="I32" s="13" t="str"/>
      <x:c r="J32" s="13" t="str">
        <x:v>If the founder, ED, or key person left, work would continue to the same standard</x:v>
      </x:c>
      <x:c r="K32" s="13" t="str">
        <x:v>Results proof and outcome indicators</x:v>
      </x:c>
      <x:c r="L32" s="13" t="str">
        <x:v>Assess whether knowledge, relationships, systems, and authority are shared enough to reduce key-person risk.</x:v>
      </x:c>
      <x:c r="M32" s="13" t="str">
        <x:v>1 — Work would likely stop or collapse if one key person left</x:v>
      </x:c>
      <x:c r="N32" s="13" t="str">
        <x:v>2 — Continuity depends heavily on one or two people</x:v>
      </x:c>
      <x:c r="O32" s="13" t="str">
        <x:v>3 — Some backups exist but quality or knowledge would drop</x:v>
      </x:c>
      <x:c r="P32" s="13" t="str">
        <x:v>4 — Work would continue with manageable disruption</x:v>
      </x:c>
      <x:c r="Q32" s="13" t="str">
        <x:v>5 — Continuity is protected through shared systems, roles, and knowledge</x:v>
      </x:c>
      <x:c r="R32" s="13" t="str">
        <x:v>N/A — Not applicable / unsafe to answer</x:v>
      </x:c>
      <x:c r="S32" s="13" t="str">
        <x:v>Single choice score (1–5 + N/A)</x:v>
      </x:c>
      <x:c r="T32" s="13" t="str">
        <x:v>Coherence, evidence &amp; social proof; B4 Proposal, Proof, Trust &amp; Ethics; Proposal Review; Due Diligence</x:v>
      </x:c>
      <x:c r="U32" s="13" t="str">
        <x:v>Original tested item G4.2 — statement and choices preserved</x:v>
      </x:c>
    </x:row>
    <x:row r="33">
      <x:c r="A33" s="13" t="str">
        <x:v>R09.05</x:v>
      </x:c>
      <x:c r="B33" s="13" t="str">
        <x:v>32</x:v>
      </x:c>
      <x:c r="C33" s="13" t="str">
        <x:v>G32</x:v>
      </x:c>
      <x:c r="D33" s="13" t="str">
        <x:v>R09</x:v>
      </x:c>
      <x:c r="E33" s="13" t="str">
        <x:v>Coherence, evidence &amp; social proof</x:v>
      </x:c>
      <x:c r="F33" s="13" t="str">
        <x:v>D17</x:v>
      </x:c>
      <x:c r="G33" s="13" t="str">
        <x:v>Evidence readiness</x:v>
      </x:c>
      <x:c r="H33" s="13" t="str">
        <x:v>B4 - Proposal, Proof, Trust &amp; Ethics</x:v>
      </x:c>
      <x:c r="I33" s="13" t="str"/>
      <x:c r="J33" s="13" t="str">
        <x:v>People we serve have real, meaningful, and structured influence over priorities</x:v>
      </x:c>
      <x:c r="K33" s="13" t="str">
        <x:v>Partner and peer references</x:v>
      </x:c>
      <x:c r="L33" s="13" t="str">
        <x:v>Answer whether communities influence decisions through real mechanisms, not only consultation language.</x:v>
      </x:c>
      <x:c r="M33" s="13" t="str">
        <x:v>1 — People served have little or no influence over priorities</x:v>
      </x:c>
      <x:c r="N33" s="13" t="str">
        <x:v>2 — Influence is informal, occasional, or symbolic</x:v>
      </x:c>
      <x:c r="O33" s="13" t="str">
        <x:v>3 — Some structured influence exists but power is uneven</x:v>
      </x:c>
      <x:c r="P33" s="13" t="str">
        <x:v>4 — Community influence is meaningful with minor gaps</x:v>
      </x:c>
      <x:c r="Q33" s="13" t="str">
        <x:v>5 — Community influence is structured, regular, and decision-shaping</x:v>
      </x:c>
      <x:c r="R33" s="13" t="str">
        <x:v>N/A — Not applicable / unsafe to answer</x:v>
      </x:c>
      <x:c r="S33" s="13" t="str">
        <x:v>Single choice score (1–5 + N/A)</x:v>
      </x:c>
      <x:c r="T33" s="13" t="str">
        <x:v>Coherence, evidence &amp; social proof; B4 Proposal, Proof, Trust &amp; Ethics; Proposal Review; Due Diligence</x:v>
      </x:c>
      <x:c r="U33" s="13" t="str">
        <x:v>Original tested item G4.3 — statement and choices preserved</x:v>
      </x:c>
    </x:row>
    <x:row r="34">
      <x:c r="A34" s="13" t="str">
        <x:v>R09.06</x:v>
      </x:c>
      <x:c r="B34" s="13" t="str">
        <x:v>33</x:v>
      </x:c>
      <x:c r="C34" s="13" t="str">
        <x:v>G33</x:v>
      </x:c>
      <x:c r="D34" s="13" t="str">
        <x:v>R09</x:v>
      </x:c>
      <x:c r="E34" s="13" t="str">
        <x:v>Coherence, evidence &amp; social proof</x:v>
      </x:c>
      <x:c r="F34" s="13" t="str">
        <x:v>D17</x:v>
      </x:c>
      <x:c r="G34" s="13" t="str">
        <x:v>Evidence readiness</x:v>
      </x:c>
      <x:c r="H34" s="13" t="str">
        <x:v>B4 - Proposal, Proof, Trust &amp; Ethics</x:v>
      </x:c>
      <x:c r="I34" s="13" t="str"/>
      <x:c r="J34" s="13" t="str">
        <x:v>There is evidence the community buys into, requested, or endorsed our work</x:v>
      </x:c>
      <x:c r="K34" s="13" t="str">
        <x:v>Past funder proof and testimonials</x:v>
      </x:c>
      <x:c r="L34" s="13" t="str">
        <x:v>Check whether community demand, trust, or endorsement can be shown through records, participation, feedback, referrals, or leadership.</x:v>
      </x:c>
      <x:c r="M34" s="13" t="str">
        <x:v>1 — No clear evidence of community buy-in or endorsement</x:v>
      </x:c>
      <x:c r="N34" s="13" t="str">
        <x:v>2 — Buy-in is assumed but weakly evidenced</x:v>
      </x:c>
      <x:c r="O34" s="13" t="str">
        <x:v>3 — Some community evidence exists but is incomplete</x:v>
      </x:c>
      <x:c r="P34" s="13" t="str">
        <x:v>4 — Community buy-in is mostly clear and evidenced</x:v>
      </x:c>
      <x:c r="Q34" s="13" t="str">
        <x:v>5 — Community demand/endorsement is strong, current, and credible</x:v>
      </x:c>
      <x:c r="R34" s="13" t="str">
        <x:v>N/A — Not applicable / unsafe to answer</x:v>
      </x:c>
      <x:c r="S34" s="13" t="str">
        <x:v>Single choice score (1–5 + N/A)</x:v>
      </x:c>
      <x:c r="T34" s="13" t="str">
        <x:v>Coherence, evidence &amp; social proof; B4 Proposal, Proof, Trust &amp; Ethics; Proposal Review; Due Diligence</x:v>
      </x:c>
      <x:c r="U34" s="13" t="str">
        <x:v>Original tested item G4.4 — statement and choices preserved</x:v>
      </x:c>
    </x:row>
    <x:row r="35">
      <x:c r="A35" s="13" t="str">
        <x:v>R09.07</x:v>
      </x:c>
      <x:c r="B35" s="13" t="str">
        <x:v>34</x:v>
      </x:c>
      <x:c r="C35" s="13" t="str">
        <x:v>G34</x:v>
      </x:c>
      <x:c r="D35" s="13" t="str">
        <x:v>R09</x:v>
      </x:c>
      <x:c r="E35" s="13" t="str">
        <x:v>Coherence, evidence &amp; social proof</x:v>
      </x:c>
      <x:c r="F35" s="13" t="str">
        <x:v>D17</x:v>
      </x:c>
      <x:c r="G35" s="13" t="str">
        <x:v>Evidence readiness</x:v>
      </x:c>
      <x:c r="H35" s="13" t="str">
        <x:v>B4 - Proposal, Proof, Trust &amp; Ethics</x:v>
      </x:c>
      <x:c r="I35" s="13" t="str"/>
      <x:c r="J35" s="13" t="str">
        <x:v>Our records and reports would match reality if spot-checked</x:v>
      </x:c>
      <x:c r="K35" s="13" t="str">
        <x:v>Community endorsement evidence</x:v>
      </x:c>
      <x:c r="L35" s="13" t="str">
        <x:v>Assess whether funder-facing reports, financial records, attendance, outputs, and stories reflect what actually happened.</x:v>
      </x:c>
      <x:c r="M35" s="13" t="str">
        <x:v>1 — Records would likely fail a spot-check against reality</x:v>
      </x:c>
      <x:c r="N35" s="13" t="str">
        <x:v>2 — Some records may not match or cannot be explained</x:v>
      </x:c>
      <x:c r="O35" s="13" t="str">
        <x:v>3 — Records mostly match but need cleanup or evidence links</x:v>
      </x:c>
      <x:c r="P35" s="13" t="str">
        <x:v>4 — Records would mostly pass a spot-check</x:v>
      </x:c>
      <x:c r="Q35" s="13" t="str">
        <x:v>5 — Records are accurate, traceable, and confidently spot-check ready</x:v>
      </x:c>
      <x:c r="R35" s="13" t="str">
        <x:v>N/A — Not applicable / unsafe to answer</x:v>
      </x:c>
      <x:c r="S35" s="13" t="str">
        <x:v>Single choice score (1–5 + N/A)</x:v>
      </x:c>
      <x:c r="T35" s="13" t="str">
        <x:v>Coherence, evidence &amp; social proof; B4 Proposal, Proof, Trust &amp; Ethics; Proposal Review; Due Diligence</x:v>
      </x:c>
      <x:c r="U35" s="13" t="str">
        <x:v>Original tested item G4.5 — statement and choices preserved</x:v>
      </x:c>
    </x:row>
    <x:row r="36">
      <x:c r="A36" s="13" t="str">
        <x:v>R10.02</x:v>
      </x:c>
      <x:c r="B36" s="13" t="str">
        <x:v>35</x:v>
      </x:c>
      <x:c r="C36" s="13" t="str">
        <x:v>G35</x:v>
      </x:c>
      <x:c r="D36" s="13" t="str">
        <x:v>R10</x:v>
      </x:c>
      <x:c r="E36" s="13" t="str">
        <x:v>Safeguarding &amp; protected proof</x:v>
      </x:c>
      <x:c r="F36" s="13" t="str">
        <x:v>D19</x:v>
      </x:c>
      <x:c r="G36" s="13" t="str">
        <x:v>Safeguarding and ethics</x:v>
      </x:c>
      <x:c r="H36" s="13" t="str">
        <x:v>B4 - Proposal, Proof, Trust &amp; Ethics</x:v>
      </x:c>
      <x:c r="I36" s="13" t="str"/>
      <x:c r="J36" s="13" t="str">
        <x:v>Our safeguarding or harm-prevention policies and practices are active</x:v>
      </x:c>
      <x:c r="K36" s="13" t="str">
        <x:v>Protected evidence protocol</x:v>
      </x:c>
      <x:c r="L36" s="13" t="str">
        <x:v>Check whether safeguarding is lived in practice through roles, reporting routes, training, and response habits.</x:v>
      </x:c>
      <x:c r="M36" s="13" t="str">
        <x:v>1 — No active safeguarding or harm-prevention practice exists</x:v>
      </x:c>
      <x:c r="N36" s="13" t="str">
        <x:v>2 — Policy exists but practice is unclear or inactive</x:v>
      </x:c>
      <x:c r="O36" s="13" t="str">
        <x:v>3 — Some practices exist but are incomplete or uneven</x:v>
      </x:c>
      <x:c r="P36" s="13" t="str">
        <x:v>4 — Safeguarding is mostly active with minor gaps</x:v>
      </x:c>
      <x:c r="Q36" s="13" t="str">
        <x:v>5 — Safeguarding is active, known, documented, and trusted</x:v>
      </x:c>
      <x:c r="R36" s="13" t="str">
        <x:v>N/A — Not applicable / unsafe to answer</x:v>
      </x:c>
      <x:c r="S36" s="13" t="str">
        <x:v>Single choice score (1–5 + N/A)</x:v>
      </x:c>
      <x:c r="T36" s="13" t="str">
        <x:v>Safeguarding &amp; protected proof; B4 Proposal, Proof, Trust &amp; Ethics; Proposal Review; Due Diligence</x:v>
      </x:c>
      <x:c r="U36" s="13" t="str">
        <x:v>Original tested item G4.6 — statement and choices preserved</x:v>
      </x:c>
    </x:row>
    <x:row r="37">
      <x:c r="A37" s="13" t="str">
        <x:v>R10.03</x:v>
      </x:c>
      <x:c r="B37" s="13" t="str">
        <x:v>36</x:v>
      </x:c>
      <x:c r="C37" s="13" t="str">
        <x:v>G36</x:v>
      </x:c>
      <x:c r="D37" s="13" t="str">
        <x:v>R10</x:v>
      </x:c>
      <x:c r="E37" s="13" t="str">
        <x:v>Safeguarding &amp; protected proof</x:v>
      </x:c>
      <x:c r="F37" s="13" t="str">
        <x:v>D19</x:v>
      </x:c>
      <x:c r="G37" s="13" t="str">
        <x:v>Safeguarding and ethics</x:v>
      </x:c>
      <x:c r="H37" s="13" t="str">
        <x:v>B4 - Proposal, Proof, Trust &amp; Ethics</x:v>
      </x:c>
      <x:c r="I37" s="13" t="str"/>
      <x:c r="J37" s="13" t="str">
        <x:v>We have safe complaints and whistleblowing routes, and people trust them</x:v>
      </x:c>
      <x:c r="K37" s="13" t="str">
        <x:v>Consent and redaction practice</x:v>
      </x:c>
      <x:c r="L37" s="13" t="str">
        <x:v>Assess whether concerns can be raised safely, confidentially, and without retaliation.</x:v>
      </x:c>
      <x:c r="M37" s="13" t="str">
        <x:v>1 — No safe complaints or whistleblowing route exists</x:v>
      </x:c>
      <x:c r="N37" s="13" t="str">
        <x:v>2 — A route exists but is not trusted or clearly protected</x:v>
      </x:c>
      <x:c r="O37" s="13" t="str">
        <x:v>3 — Some route exists but confidentiality/response needs work</x:v>
      </x:c>
      <x:c r="P37" s="13" t="str">
        <x:v>4 — Routes are mostly safe and trusted with minor gaps</x:v>
      </x:c>
      <x:c r="Q37" s="13" t="str">
        <x:v>5 — Routes are safe, confidential, trusted, and regularly communicated</x:v>
      </x:c>
      <x:c r="R37" s="13" t="str">
        <x:v>N/A — Not applicable / unsafe to answer</x:v>
      </x:c>
      <x:c r="S37" s="13" t="str">
        <x:v>Single choice score (1–5 + N/A)</x:v>
      </x:c>
      <x:c r="T37" s="13" t="str">
        <x:v>Safeguarding &amp; protected proof; B4 Proposal, Proof, Trust &amp; Ethics; Proposal Review; Due Diligence</x:v>
      </x:c>
      <x:c r="U37" s="13" t="str">
        <x:v>Original tested item G4.7 — statement and choices preserved</x:v>
      </x:c>
    </x:row>
    <x:row r="38">
      <x:c r="A38" s="13" t="str">
        <x:v>R10.04</x:v>
      </x:c>
      <x:c r="B38" s="13" t="str">
        <x:v>37</x:v>
      </x:c>
      <x:c r="C38" s="13" t="str">
        <x:v>G37</x:v>
      </x:c>
      <x:c r="D38" s="13" t="str">
        <x:v>R10</x:v>
      </x:c>
      <x:c r="E38" s="13" t="str">
        <x:v>Safeguarding &amp; protected proof</x:v>
      </x:c>
      <x:c r="F38" s="13" t="str">
        <x:v>D19</x:v>
      </x:c>
      <x:c r="G38" s="13" t="str">
        <x:v>Safeguarding and ethics</x:v>
      </x:c>
      <x:c r="H38" s="13" t="str">
        <x:v>B4 - Proposal, Proof, Trust &amp; Ethics</x:v>
      </x:c>
      <x:c r="I38" s="13" t="str"/>
      <x:c r="J38" s="13" t="str">
        <x:v>There are no unresolved legal, sanctions, fraud, safeguarding, or serious reputational issues that would block funding, or any issues are transparently disclosed and being handled</x:v>
      </x:c>
      <x:c r="K38" s="13" t="str">
        <x:v>Case data and identifying detail safety</x:v>
      </x:c>
      <x:c r="L38" s="13" t="str">
        <x:v>Answer honestly. This checks whether serious funder-blocking risks are absent, resolved, or actively managed.</x:v>
      </x:c>
      <x:c r="M38" s="13" t="str">
        <x:v>1 — Serious unresolved issues would likely block funding</x:v>
      </x:c>
      <x:c r="N38" s="13" t="str">
        <x:v>2 — Issues exist and the response is unclear or under-documented</x:v>
      </x:c>
      <x:c r="O38" s="13" t="str">
        <x:v>3 — Issues are being handled but may still worry funders</x:v>
      </x:c>
      <x:c r="P38" s="13" t="str">
        <x:v>4 — Issues are mostly resolved/disclosed with minor follow-up needed</x:v>
      </x:c>
      <x:c r="Q38" s="13" t="str">
        <x:v>5 — No material blocker exists, or issues are transparently managed and evidenced</x:v>
      </x:c>
      <x:c r="R38" s="13" t="str">
        <x:v>N/A — Not applicable / unsafe to answer</x:v>
      </x:c>
      <x:c r="S38" s="13" t="str">
        <x:v>Single choice score (1–5 + N/A)</x:v>
      </x:c>
      <x:c r="T38" s="13" t="str">
        <x:v>Safeguarding &amp; protected proof; B4 Proposal, Proof, Trust &amp; Ethics; Proposal Review; Due Diligence</x:v>
      </x:c>
      <x:c r="U38" s="13" t="str">
        <x:v>Original tested item G4.8 — statement and choices preserved</x:v>
      </x:c>
    </x:row>
    <x:row r="39">
      <x:c r="A39" s="13" t="str">
        <x:v>R07.02</x:v>
      </x:c>
      <x:c r="B39" s="13" t="str">
        <x:v>38</x:v>
      </x:c>
      <x:c r="C39" s="13" t="str">
        <x:v>G38</x:v>
      </x:c>
      <x:c r="D39" s="13" t="str">
        <x:v>R07</x:v>
      </x:c>
      <x:c r="E39" s="13" t="str">
        <x:v>Relationship, leadership &amp; visibility</x:v>
      </x:c>
      <x:c r="F39" s="13" t="str">
        <x:v>D13</x:v>
      </x:c>
      <x:c r="G39" s="13" t="str">
        <x:v>Relationship management</x:v>
      </x:c>
      <x:c r="H39" s="13" t="str">
        <x:v>B3 - Fit, Competitiveness &amp; Access</x:v>
      </x:c>
      <x:c r="I39" s="13" t="str"/>
      <x:c r="J39" s="13" t="str">
        <x:v>Credible people or organisations in or connected to our movement/area can vouch for us</x:v>
      </x:c>
      <x:c r="K39" s="13" t="str">
        <x:v>Funder follow-up rhythm</x:v>
      </x:c>
      <x:c r="L39" s="13" t="str">
        <x:v>Check whether trusted references can confirm your legitimacy, contribution, reliability, and community relationship.</x:v>
      </x:c>
      <x:c r="M39" s="13" t="str">
        <x:v>1 — No credible references are currently available</x:v>
      </x:c>
      <x:c r="N39" s="13" t="str">
        <x:v>2 — References exist but are weak, distant, or unprepared</x:v>
      </x:c>
      <x:c r="O39" s="13" t="str">
        <x:v>3 — Some credible references can vouch for parts of the work</x:v>
      </x:c>
      <x:c r="P39" s="13" t="str">
        <x:v>4 — Strong references are available with minor gaps</x:v>
      </x:c>
      <x:c r="Q39" s="13" t="str">
        <x:v>5 — Credible, relevant references can clearly vouch for us</x:v>
      </x:c>
      <x:c r="R39" s="13" t="str">
        <x:v>N/A — Not applicable / unsafe to answer</x:v>
      </x:c>
      <x:c r="S39" s="13" t="str">
        <x:v>Single choice score (1–5 + N/A)</x:v>
      </x:c>
      <x:c r="T39" s="13" t="str">
        <x:v>Relationship, leadership &amp; visibility; B3 Fit, Competitiveness &amp; Access; Conversation; Award/Renewal</x:v>
      </x:c>
      <x:c r="U39" s="13" t="str">
        <x:v>Original tested item G4.9 — statement and choices preserved</x:v>
      </x:c>
    </x:row>
    <x:row r="40">
      <x:c r="A40" s="13" t="str">
        <x:v>R07.03</x:v>
      </x:c>
      <x:c r="B40" s="13" t="str">
        <x:v>39</x:v>
      </x:c>
      <x:c r="C40" s="13" t="str">
        <x:v>G39</x:v>
      </x:c>
      <x:c r="D40" s="13" t="str">
        <x:v>R07</x:v>
      </x:c>
      <x:c r="E40" s="13" t="str">
        <x:v>Relationship, leadership &amp; visibility</x:v>
      </x:c>
      <x:c r="F40" s="13" t="str">
        <x:v>D13</x:v>
      </x:c>
      <x:c r="G40" s="13" t="str">
        <x:v>Relationship management</x:v>
      </x:c>
      <x:c r="H40" s="13" t="str">
        <x:v>B3 - Fit, Competitiveness &amp; Access</x:v>
      </x:c>
      <x:c r="I40" s="13" t="str"/>
      <x:c r="J40" s="13" t="str">
        <x:v>Past funders would fund us again or recommend us</x:v>
      </x:c>
      <x:c r="K40" s="13" t="str">
        <x:v>Leadership visibility and credibility</x:v>
      </x:c>
      <x:c r="L40" s="13" t="str">
        <x:v>Answer based on actual relationship quality, grant closeout, reporting, and funder feedback.</x:v>
      </x:c>
      <x:c r="M40" s="13" t="str">
        <x:v>1 — Past funders would likely not recommend or re-fund us</x:v>
      </x:c>
      <x:c r="N40" s="13" t="str">
        <x:v>2 — Past funder relationships are uncertain or unresolved</x:v>
      </x:c>
      <x:c r="O40" s="13" t="str">
        <x:v>3 — Some past funders may recommend us, but confidence is mixed</x:v>
      </x:c>
      <x:c r="P40" s="13" t="str">
        <x:v>4 — Most past funders would likely recommend or re-fund us</x:v>
      </x:c>
      <x:c r="Q40" s="13" t="str">
        <x:v>5 — Past funders are strong advocates or repeat-funding prospects</x:v>
      </x:c>
      <x:c r="R40" s="13" t="str">
        <x:v>N/A — Not applicable / unsafe to answer</x:v>
      </x:c>
      <x:c r="S40" s="13" t="str">
        <x:v>Single choice score (1–5 + N/A)</x:v>
      </x:c>
      <x:c r="T40" s="13" t="str">
        <x:v>Relationship, leadership &amp; visibility; B3 Fit, Competitiveness &amp; Access; Conversation; Award/Renewal</x:v>
      </x:c>
      <x:c r="U40" s="13" t="str">
        <x:v>Original tested item G4.10 — statement and choices preserved</x:v>
      </x:c>
    </x:row>
    <x:row r="41">
      <x:c r="A41" s="13" t="str">
        <x:v>R11.09</x:v>
      </x:c>
      <x:c r="B41" s="13" t="str">
        <x:v>40</x:v>
      </x:c>
      <x:c r="C41" s="13" t="str">
        <x:v>G40</x:v>
      </x:c>
      <x:c r="D41" s="13" t="str">
        <x:v>R11</x:v>
      </x:c>
      <x:c r="E41" s="13" t="str">
        <x:v>Due diligence, finance &amp; risk</x:v>
      </x:c>
      <x:c r="F41" s="13" t="str">
        <x:v>D21</x:v>
      </x:c>
      <x:c r="G41" s="13" t="str">
        <x:v>Governance and controls</x:v>
      </x:c>
      <x:c r="H41" s="13" t="str">
        <x:v>B5 - Due Diligence, Operations &amp; Financial Viability</x:v>
      </x:c>
      <x:c r="I41" s="13" t="str"/>
      <x:c r="J41" s="13" t="str">
        <x:v>Each major activity has a named person responsible</x:v>
      </x:c>
      <x:c r="K41" s="13" t="str">
        <x:v>Reporting calendar and donor compliance</x:v>
      </x:c>
      <x:c r="L41" s="13" t="str">
        <x:v>Check whether delivery ownership is clear enough that work does not disappear between people.</x:v>
      </x:c>
      <x:c r="M41" s="13" t="str">
        <x:v>1 — Major activities have no clear owner</x:v>
      </x:c>
      <x:c r="N41" s="13" t="str">
        <x:v>2 — Owners are assumed but not clearly assigned</x:v>
      </x:c>
      <x:c r="O41" s="13" t="str">
        <x:v>3 — Some activities have owners but gaps remain</x:v>
      </x:c>
      <x:c r="P41" s="13" t="str">
        <x:v>4 — Most activities have clear owners</x:v>
      </x:c>
      <x:c r="Q41" s="13" t="str">
        <x:v>5 — Every major activity has a named, supported, accountable owner</x:v>
      </x:c>
      <x:c r="R41" s="13" t="str">
        <x:v>N/A — Not applicable / unsafe to answer</x:v>
      </x:c>
      <x:c r="S41" s="13" t="str">
        <x:v>Single choice score (1–5 + N/A)</x:v>
      </x:c>
      <x:c r="T41" s="13" t="str">
        <x:v>Due diligence, finance &amp; risk; B5 Due Diligence, Operations &amp; Financial Viability; Due Diligence; Budget / Contract</x:v>
      </x:c>
      <x:c r="U41" s="13" t="str">
        <x:v>Original tested item G5.1 — statement and choices preserved</x:v>
      </x:c>
    </x:row>
    <x:row r="42">
      <x:c r="A42" s="13" t="str">
        <x:v>R11.10</x:v>
      </x:c>
      <x:c r="B42" s="13" t="str">
        <x:v>41</x:v>
      </x:c>
      <x:c r="C42" s="13" t="str">
        <x:v>G41</x:v>
      </x:c>
      <x:c r="D42" s="13" t="str">
        <x:v>R11</x:v>
      </x:c>
      <x:c r="E42" s="13" t="str">
        <x:v>Due diligence, finance &amp; risk</x:v>
      </x:c>
      <x:c r="F42" s="13" t="str">
        <x:v>D21</x:v>
      </x:c>
      <x:c r="G42" s="13" t="str">
        <x:v>Governance and controls</x:v>
      </x:c>
      <x:c r="H42" s="13" t="str">
        <x:v>B5 - Due Diligence, Operations &amp; Financial Viability</x:v>
      </x:c>
      <x:c r="I42" s="13" t="str"/>
      <x:c r="J42" s="13" t="str">
        <x:v>The people who deliver the work (staff, volunteers, consultants, or partners) have the skills and support required</x:v>
      </x:c>
      <x:c r="K42" s="13" t="str">
        <x:v>Audit or annual accounts readiness</x:v>
      </x:c>
      <x:c r="L42" s="13" t="str">
        <x:v>Assess both capability and support: skills, supervision, tools, care, training, and realistic workload.</x:v>
      </x:c>
      <x:c r="M42" s="13" t="str">
        <x:v>1 — Delivery people lack critical skills or support</x:v>
      </x:c>
      <x:c r="N42" s="13" t="str">
        <x:v>2 — Skills/support are uneven and create delivery risk</x:v>
      </x:c>
      <x:c r="O42" s="13" t="str">
        <x:v>3 — Core skills exist but support systems need strengthening</x:v>
      </x:c>
      <x:c r="P42" s="13" t="str">
        <x:v>4 — The team is mostly skilled and supported</x:v>
      </x:c>
      <x:c r="Q42" s="13" t="str">
        <x:v>5 — Delivery people have the skills, support, and conditions needed</x:v>
      </x:c>
      <x:c r="R42" s="13" t="str">
        <x:v>N/A — Not applicable / unsafe to answer</x:v>
      </x:c>
      <x:c r="S42" s="13" t="str">
        <x:v>Single choice score (1–5 + N/A)</x:v>
      </x:c>
      <x:c r="T42" s="13" t="str">
        <x:v>Due diligence, finance &amp; risk; B5 Due Diligence, Operations &amp; Financial Viability; Due Diligence; Budget / Contract</x:v>
      </x:c>
      <x:c r="U42" s="13" t="str">
        <x:v>Original tested item G5.2 — statement and choices preserved</x:v>
      </x:c>
    </x:row>
    <x:row r="43">
      <x:c r="A43" s="13" t="str">
        <x:v>R11.11</x:v>
      </x:c>
      <x:c r="B43" s="13" t="str">
        <x:v>42</x:v>
      </x:c>
      <x:c r="C43" s="13" t="str">
        <x:v>G42</x:v>
      </x:c>
      <x:c r="D43" s="13" t="str">
        <x:v>R11</x:v>
      </x:c>
      <x:c r="E43" s="13" t="str">
        <x:v>Due diligence, finance &amp; risk</x:v>
      </x:c>
      <x:c r="F43" s="13" t="str">
        <x:v>D21</x:v>
      </x:c>
      <x:c r="G43" s="13" t="str">
        <x:v>Governance and controls</x:v>
      </x:c>
      <x:c r="H43" s="13" t="str">
        <x:v>B5 - Due Diligence, Operations &amp; Financial Viability</x:v>
      </x:c>
      <x:c r="I43" s="13" t="str"/>
      <x:c r="J43" s="13" t="str">
        <x:v>The percentage of our team currently overstretched or fatigued is manageable</x:v>
      </x:c>
      <x:c r="K43" s="13" t="str">
        <x:v>Cashflow and runway visibility</x:v>
      </x:c>
      <x:c r="L43" s="13" t="str">
        <x:v>Choose the option that best reflects current capacity risk, not what you wish were true.</x:v>
      </x:c>
      <x:c r="M43" s="13" t="str">
        <x:v>1 — More than 75% of the team is overstretched or fatigued</x:v>
      </x:c>
      <x:c r="N43" s="13" t="str">
        <x:v>2 — About 50–75% of the team is overstretched or fatigued</x:v>
      </x:c>
      <x:c r="O43" s="13" t="str">
        <x:v>3 — About 25–49% of the team is overstretched or fatigued</x:v>
      </x:c>
      <x:c r="P43" s="13" t="str">
        <x:v>4 — About 10–24% of the team is overstretched or fatigued</x:v>
      </x:c>
      <x:c r="Q43" s="13" t="str">
        <x:v>5 — Less than 10% is overstretched, or active recovery buffers are working</x:v>
      </x:c>
      <x:c r="R43" s="13" t="str">
        <x:v>N/A — Not applicable / unsafe to answer</x:v>
      </x:c>
      <x:c r="S43" s="13" t="str">
        <x:v>Single choice score (1–5 + N/A)</x:v>
      </x:c>
      <x:c r="T43" s="13" t="str">
        <x:v>Due diligence, finance &amp; risk; B5 Due Diligence, Operations &amp; Financial Viability; Due Diligence; Budget / Contract</x:v>
      </x:c>
      <x:c r="U43" s="13" t="str">
        <x:v>Original tested item G5.3 — statement and choices preserved</x:v>
      </x:c>
    </x:row>
    <x:row r="44">
      <x:c r="A44" s="13" t="str">
        <x:v>R11.12</x:v>
      </x:c>
      <x:c r="B44" s="13" t="str">
        <x:v>43</x:v>
      </x:c>
      <x:c r="C44" s="13" t="str">
        <x:v>G43</x:v>
      </x:c>
      <x:c r="D44" s="13" t="str">
        <x:v>R11</x:v>
      </x:c>
      <x:c r="E44" s="13" t="str">
        <x:v>Due diligence, finance &amp; risk</x:v>
      </x:c>
      <x:c r="F44" s="13" t="str">
        <x:v>D21</x:v>
      </x:c>
      <x:c r="G44" s="13" t="str">
        <x:v>Governance and controls</x:v>
      </x:c>
      <x:c r="H44" s="13" t="str">
        <x:v>B5 - Due Diligence, Operations &amp; Financial Viability</x:v>
      </x:c>
      <x:c r="I44" s="13" t="str"/>
      <x:c r="J44" s="13" t="str">
        <x:v>Our plans and delivery timelines are realistic for our team, resources, and context</x:v>
      </x:c>
      <x:c r="K44" s="13" t="str">
        <x:v>Reserve and core-cost planning</x:v>
      </x:c>
      <x:c r="L44" s="13" t="str">
        <x:v>Check whether timelines reflect actual capacity, delays, risk, community time, and administrative load.</x:v>
      </x:c>
      <x:c r="M44" s="13" t="str">
        <x:v>1 — Plans/timelines are unrealistic and likely to fail</x:v>
      </x:c>
      <x:c r="N44" s="13" t="str">
        <x:v>2 — Timelines are overly ambitious with serious capacity risks</x:v>
      </x:c>
      <x:c r="O44" s="13" t="str">
        <x:v>3 — Plans are possible but need adjustment or extra resources</x:v>
      </x:c>
      <x:c r="P44" s="13" t="str">
        <x:v>4 — Plans are mostly realistic with minor pressure points</x:v>
      </x:c>
      <x:c r="Q44" s="13" t="str">
        <x:v>5 — Plans are realistic, resourced, and context-aware</x:v>
      </x:c>
      <x:c r="R44" s="13" t="str">
        <x:v>N/A — Not applicable / unsafe to answer</x:v>
      </x:c>
      <x:c r="S44" s="13" t="str">
        <x:v>Single choice score (1–5 + N/A)</x:v>
      </x:c>
      <x:c r="T44" s="13" t="str">
        <x:v>Due diligence, finance &amp; risk; B5 Due Diligence, Operations &amp; Financial Viability; Due Diligence; Budget / Contract</x:v>
      </x:c>
      <x:c r="U44" s="13" t="str">
        <x:v>Original tested item G5.4 — statement and choices preserved</x:v>
      </x:c>
    </x:row>
    <x:row r="45">
      <x:c r="A45" s="13" t="str">
        <x:v>R11.13</x:v>
      </x:c>
      <x:c r="B45" s="13" t="str">
        <x:v>44</x:v>
      </x:c>
      <x:c r="C45" s="13" t="str">
        <x:v>G44</x:v>
      </x:c>
      <x:c r="D45" s="13" t="str">
        <x:v>R11</x:v>
      </x:c>
      <x:c r="E45" s="13" t="str">
        <x:v>Due diligence, finance &amp; risk</x:v>
      </x:c>
      <x:c r="F45" s="13" t="str">
        <x:v>D21</x:v>
      </x:c>
      <x:c r="G45" s="13" t="str">
        <x:v>Governance and controls</x:v>
      </x:c>
      <x:c r="H45" s="13" t="str">
        <x:v>B5 - Due Diligence, Operations &amp; Financial Viability</x:v>
      </x:c>
      <x:c r="I45" s="13" t="str"/>
      <x:c r="J45" s="13" t="str">
        <x:v>Financial and narrative reports are produced on time</x:v>
      </x:c>
      <x:c r="K45" s="13" t="str">
        <x:v>Bank reconciliation discipline</x:v>
      </x:c>
      <x:c r="L45" s="13" t="str">
        <x:v>Answer based on recent reporting behaviour, not intention.</x:v>
      </x:c>
      <x:c r="M45" s="13" t="str">
        <x:v>1 — Reports are usually late or missing</x:v>
      </x:c>
      <x:c r="N45" s="13" t="str">
        <x:v>2 — Reports are often delayed or require crisis effort</x:v>
      </x:c>
      <x:c r="O45" s="13" t="str">
        <x:v>3 — Reports are sometimes on time but inconsistent</x:v>
      </x:c>
      <x:c r="P45" s="13" t="str">
        <x:v>4 — Reports are mostly on time with minor delays</x:v>
      </x:c>
      <x:c r="Q45" s="13" t="str">
        <x:v>5 — Financial and narrative reports are consistently timely and complete</x:v>
      </x:c>
      <x:c r="R45" s="13" t="str">
        <x:v>N/A — Not applicable / unsafe to answer</x:v>
      </x:c>
      <x:c r="S45" s="13" t="str">
        <x:v>Single choice score (1–5 + N/A)</x:v>
      </x:c>
      <x:c r="T45" s="13" t="str">
        <x:v>Due diligence, finance &amp; risk; B5 Due Diligence, Operations &amp; Financial Viability; Due Diligence; Budget / Contract</x:v>
      </x:c>
      <x:c r="U45" s="13" t="str">
        <x:v>Original tested item G5.5 — statement and choices preserved</x:v>
      </x:c>
    </x:row>
    <x:row r="46">
      <x:c r="A46" s="13" t="str">
        <x:v>R11.14</x:v>
      </x:c>
      <x:c r="B46" s="13" t="str">
        <x:v>45</x:v>
      </x:c>
      <x:c r="C46" s="13" t="str">
        <x:v>G45</x:v>
      </x:c>
      <x:c r="D46" s="13" t="str">
        <x:v>R11</x:v>
      </x:c>
      <x:c r="E46" s="13" t="str">
        <x:v>Due diligence, finance &amp; risk</x:v>
      </x:c>
      <x:c r="F46" s="13" t="str">
        <x:v>D21</x:v>
      </x:c>
      <x:c r="G46" s="13" t="str">
        <x:v>Governance and controls</x:v>
      </x:c>
      <x:c r="H46" s="13" t="str">
        <x:v>B5 - Due Diligence, Operations &amp; Financial Viability</x:v>
      </x:c>
      <x:c r="I46" s="13" t="str"/>
      <x:c r="J46" s="13" t="str">
        <x:v>Every expense is recorded and receipted with date, amount, purpose, and budget line</x:v>
      </x:c>
      <x:c r="K46" s="13" t="str">
        <x:v>Grant size versus financial stretch risk</x:v>
      </x:c>
      <x:c r="L46" s="13" t="str">
        <x:v>Check whether expense evidence is complete enough for grant reporting and audit/review.</x:v>
      </x:c>
      <x:c r="M46" s="13" t="str">
        <x:v>1 — Expenses are often missing receipts or key details</x:v>
      </x:c>
      <x:c r="N46" s="13" t="str">
        <x:v>2 — Many expenses are recorded but evidence is incomplete</x:v>
      </x:c>
      <x:c r="O46" s="13" t="str">
        <x:v>3 — Most expenses are recorded, with some missing details</x:v>
      </x:c>
      <x:c r="P46" s="13" t="str">
        <x:v>4 — Expenses are mostly complete and traceable</x:v>
      </x:c>
      <x:c r="Q46" s="13" t="str">
        <x:v>5 — Every expense is fully recorded, receipted, and budget-linked</x:v>
      </x:c>
      <x:c r="R46" s="13" t="str">
        <x:v>N/A — Not applicable / unsafe to answer</x:v>
      </x:c>
      <x:c r="S46" s="13" t="str">
        <x:v>Single choice score (1–5 + N/A)</x:v>
      </x:c>
      <x:c r="T46" s="13" t="str">
        <x:v>Due diligence, finance &amp; risk; B5 Due Diligence, Operations &amp; Financial Viability; Due Diligence; Budget / Contract</x:v>
      </x:c>
      <x:c r="U46" s="13" t="str">
        <x:v>Original tested item G5.6 — statement and choices preserved</x:v>
      </x:c>
    </x:row>
    <x:row r="47">
      <x:c r="A47" s="13" t="str">
        <x:v>R11.15</x:v>
      </x:c>
      <x:c r="B47" s="13" t="str">
        <x:v>46</x:v>
      </x:c>
      <x:c r="C47" s="13" t="str">
        <x:v>G46</x:v>
      </x:c>
      <x:c r="D47" s="13" t="str">
        <x:v>R11</x:v>
      </x:c>
      <x:c r="E47" s="13" t="str">
        <x:v>Due diligence, finance &amp; risk</x:v>
      </x:c>
      <x:c r="F47" s="13" t="str">
        <x:v>D21</x:v>
      </x:c>
      <x:c r="G47" s="13" t="str">
        <x:v>Governance and controls</x:v>
      </x:c>
      <x:c r="H47" s="13" t="str">
        <x:v>B5 - Due Diligence, Operations &amp; Financial Viability</x:v>
      </x:c>
      <x:c r="I47" s="13" t="str"/>
      <x:c r="J47" s="13" t="str">
        <x:v>We have accounting software or structured spreadsheets for financial tracking</x:v>
      </x:c>
      <x:c r="K47" s="13" t="str">
        <x:v>Tax and statutory compliance evidence</x:v>
      </x:c>
      <x:c r="L47" s="13" t="str">
        <x:v>Assess whether financial tracking is structured enough to show balances, categories, budgets, restrictions, and actuals.</x:v>
      </x:c>
      <x:c r="M47" s="13" t="str">
        <x:v>1 — No structured financial tracking system is used</x:v>
      </x:c>
      <x:c r="N47" s="13" t="str">
        <x:v>2 — Tracking exists but is messy, manual, or hard to trust</x:v>
      </x:c>
      <x:c r="O47" s="13" t="str">
        <x:v>3 — A basic system exists but needs cleanup or consistency</x:v>
      </x:c>
      <x:c r="P47" s="13" t="str">
        <x:v>4 — Tracking is mostly structured and usable</x:v>
      </x:c>
      <x:c r="Q47" s="13" t="str">
        <x:v>5 — Financial tracking is structured, current, and funder/audit-ready</x:v>
      </x:c>
      <x:c r="R47" s="13" t="str">
        <x:v>N/A — Not applicable / unsafe to answer</x:v>
      </x:c>
      <x:c r="S47" s="13" t="str">
        <x:v>Single choice score (1–5 + N/A)</x:v>
      </x:c>
      <x:c r="T47" s="13" t="str">
        <x:v>Due diligence, finance &amp; risk; B5 Due Diligence, Operations &amp; Financial Viability; Due Diligence; Budget / Contract</x:v>
      </x:c>
      <x:c r="U47" s="13" t="str">
        <x:v>Original tested item G5.7 — statement and choices preserved</x:v>
      </x:c>
    </x:row>
    <x:row r="48">
      <x:c r="A48" s="13" t="str">
        <x:v>R12.01</x:v>
      </x:c>
      <x:c r="B48" s="13" t="str">
        <x:v>47</x:v>
      </x:c>
      <x:c r="C48" s="13" t="str">
        <x:v>G47</x:v>
      </x:c>
      <x:c r="D48" s="13" t="str">
        <x:v>R12</x:v>
      </x:c>
      <x:c r="E48" s="13" t="str">
        <x:v>Grant management &amp; sustainability</x:v>
      </x:c>
      <x:c r="F48" s="13" t="str">
        <x:v>D23</x:v>
      </x:c>
      <x:c r="G48" s="13" t="str">
        <x:v>Grant management and renewal</x:v>
      </x:c>
      <x:c r="H48" s="13" t="str">
        <x:v>B6 - Post-Award, Renewal &amp; Adaptability</x:v>
      </x:c>
      <x:c r="I48" s="13" t="str"/>
      <x:c r="J48" s="13" t="str">
        <x:v>We have live grant management systems to track grant budgets, restrictions, and reporting deadlines without losing them</x:v>
      </x:c>
      <x:c r="K48" s="13" t="str">
        <x:v>Funder diversification strategy</x:v>
      </x:c>
      <x:c r="L48" s="13" t="str">
        <x:v>Check whether grant obligations are actively tracked beyond someone's memory or inbox.</x:v>
      </x:c>
      <x:c r="M48" s="13" t="str">
        <x:v>1 — Grant obligations are not tracked in a live system</x:v>
      </x:c>
      <x:c r="N48" s="13" t="str">
        <x:v>2 — Tracking depends on one person or scattered notes</x:v>
      </x:c>
      <x:c r="O48" s="13" t="str">
        <x:v>3 — Some grant tracking exists but gaps create risk</x:v>
      </x:c>
      <x:c r="P48" s="13" t="str">
        <x:v>4 — Grant tracking is mostly live and reliable</x:v>
      </x:c>
      <x:c r="Q48" s="13" t="str">
        <x:v>5 — Grant budgets, restrictions, and deadlines are actively tracked and reviewed</x:v>
      </x:c>
      <x:c r="R48" s="13" t="str">
        <x:v>N/A — Not applicable / unsafe to answer</x:v>
      </x:c>
      <x:c r="S48" s="13" t="str">
        <x:v>Single choice score (1–5 + N/A)</x:v>
      </x:c>
      <x:c r="T48" s="13" t="str">
        <x:v>Grant management &amp; sustainability; B6 Post-Award, Renewal &amp; Adaptability; Award / Renewal</x:v>
      </x:c>
      <x:c r="U48" s="13" t="str">
        <x:v>Original tested item G5.8 — statement and choices preserved</x:v>
      </x:c>
    </x:row>
    <x:row r="49">
      <x:c r="A49" s="13" t="str">
        <x:v>R11.16</x:v>
      </x:c>
      <x:c r="B49" s="13" t="str">
        <x:v>48</x:v>
      </x:c>
      <x:c r="C49" s="13" t="str">
        <x:v>G48</x:v>
      </x:c>
      <x:c r="D49" s="13" t="str">
        <x:v>R11</x:v>
      </x:c>
      <x:c r="E49" s="13" t="str">
        <x:v>Due diligence, finance &amp; risk</x:v>
      </x:c>
      <x:c r="F49" s="13" t="str">
        <x:v>D21</x:v>
      </x:c>
      <x:c r="G49" s="13" t="str">
        <x:v>Governance and controls</x:v>
      </x:c>
      <x:c r="H49" s="13" t="str">
        <x:v>B5 - Due Diligence, Operations &amp; Financial Viability</x:v>
      </x:c>
      <x:c r="I49" s="13" t="str"/>
      <x:c r="J49" s="13" t="str">
        <x:v>Our restricted or project funds are separated from other funds</x:v>
      </x:c>
      <x:c r="K49" s="13" t="str">
        <x:v>Risk register and mitigation tracking</x:v>
      </x:c>
      <x:c r="L49" s="13" t="str">
        <x:v>Assess whether you can show restricted funds are not mixed, misused, or accidentally spent elsewhere.</x:v>
      </x:c>
      <x:c r="M49" s="13" t="str">
        <x:v>1 — Restricted/project funds are mixed with no clear tracking</x:v>
      </x:c>
      <x:c r="N49" s="13" t="str">
        <x:v>2 — Some separation exists but is weak or inconsistent</x:v>
      </x:c>
      <x:c r="O49" s="13" t="str">
        <x:v>3 — Funds are partly separated but reconciliation is needed</x:v>
      </x:c>
      <x:c r="P49" s="13" t="str">
        <x:v>4 — Restricted/project funds are mostly separated and traceable</x:v>
      </x:c>
      <x:c r="Q49" s="13" t="str">
        <x:v>5 — Restricted/project funds are clearly separated, tracked, and reportable</x:v>
      </x:c>
      <x:c r="R49" s="13" t="str">
        <x:v>N/A — Not applicable / unsafe to answer</x:v>
      </x:c>
      <x:c r="S49" s="13" t="str">
        <x:v>Single choice score (1–5 + N/A)</x:v>
      </x:c>
      <x:c r="T49" s="13" t="str">
        <x:v>Due diligence, finance &amp; risk; B5 Due Diligence, Operations &amp; Financial Viability; Due Diligence; Budget / Contract</x:v>
      </x:c>
      <x:c r="U49" s="13" t="str">
        <x:v>Original tested item G5.9 — statement and choices preserved</x:v>
      </x:c>
    </x:row>
    <x:row r="50">
      <x:c r="A50" s="13" t="str">
        <x:v>R11.17</x:v>
      </x:c>
      <x:c r="B50" s="13" t="str">
        <x:v>49</x:v>
      </x:c>
      <x:c r="C50" s="13" t="str">
        <x:v>G49</x:v>
      </x:c>
      <x:c r="D50" s="13" t="str">
        <x:v>R11</x:v>
      </x:c>
      <x:c r="E50" s="13" t="str">
        <x:v>Due diligence, finance &amp; risk</x:v>
      </x:c>
      <x:c r="F50" s="13" t="str">
        <x:v>D21</x:v>
      </x:c>
      <x:c r="G50" s="13" t="str">
        <x:v>Governance and controls</x:v>
      </x:c>
      <x:c r="H50" s="13" t="str">
        <x:v>B5 - Due Diligence, Operations &amp; Financial Viability</x:v>
      </x:c>
      <x:c r="I50" s="13" t="str"/>
      <x:c r="J50" s="13" t="str">
        <x:v>Basic operations continue if lead person/s are unavailable for 2 weeks</x:v>
      </x:c>
      <x:c r="K50" s="13" t="str">
        <x:v>Fraud, conflict and whistleblowing controls</x:v>
      </x:c>
      <x:c r="L50" s="13" t="str">
        <x:v>Check continuity of payments, decisions, access, communications, and delivery when key people are unavailable.</x:v>
      </x:c>
      <x:c r="M50" s="13" t="str">
        <x:v>1 — Basic operations would likely stop within days</x:v>
      </x:c>
      <x:c r="N50" s="13" t="str">
        <x:v>2 — Operations would continue only through emergency workarounds</x:v>
      </x:c>
      <x:c r="O50" s="13" t="str">
        <x:v>3 — Some functions would continue, but important gaps remain</x:v>
      </x:c>
      <x:c r="P50" s="13" t="str">
        <x:v>4 — Most basic operations would continue with minor disruption</x:v>
      </x:c>
      <x:c r="Q50" s="13" t="str">
        <x:v>5 — Operations can continue through documented backups and shared access</x:v>
      </x:c>
      <x:c r="R50" s="13" t="str">
        <x:v>N/A — Not applicable / unsafe to answer</x:v>
      </x:c>
      <x:c r="S50" s="13" t="str">
        <x:v>Single choice score (1–5 + N/A)</x:v>
      </x:c>
      <x:c r="T50" s="13" t="str">
        <x:v>Due diligence, finance &amp; risk; B5 Due Diligence, Operations &amp; Financial Viability; Due Diligence; Budget / Contract</x:v>
      </x:c>
      <x:c r="U50" s="13" t="str">
        <x:v>Original tested item G5.10 — statement and choices preserved</x:v>
      </x:c>
    </x:row>
    <x:row r="51">
      <x:c r="A51" s="13" t="str">
        <x:v>R11.18</x:v>
      </x:c>
      <x:c r="B51" s="13" t="str">
        <x:v>50</x:v>
      </x:c>
      <x:c r="C51" s="13" t="str">
        <x:v>G50</x:v>
      </x:c>
      <x:c r="D51" s="13" t="str">
        <x:v>R11</x:v>
      </x:c>
      <x:c r="E51" s="13" t="str">
        <x:v>Due diligence, finance &amp; risk</x:v>
      </x:c>
      <x:c r="F51" s="13" t="str">
        <x:v>D21</x:v>
      </x:c>
      <x:c r="G51" s="13" t="str">
        <x:v>Governance and controls</x:v>
      </x:c>
      <x:c r="H51" s="13" t="str">
        <x:v>B5 - Due Diligence, Operations &amp; Financial Viability</x:v>
      </x:c>
      <x:c r="I51" s="13" t="str"/>
      <x:c r="J51" s="13" t="str">
        <x:v>The grant size we seek would not create unmanageable pressure or hidden labour</x:v>
      </x:c>
      <x:c r="K51" s="13" t="str">
        <x:v>HR, payroll or consultant contracting readiness</x:v>
      </x:c>
      <x:c r="L51" s="13" t="str">
        <x:v>Assess whether the requested grant size matches real management, reporting, staffing, care, and compliance capacity.</x:v>
      </x:c>
      <x:c r="M51" s="13" t="str">
        <x:v>1 — The grant size would create serious hidden labour or delivery risk</x:v>
      </x:c>
      <x:c r="N51" s="13" t="str">
        <x:v>2 — The grant would stretch people/systems beyond healthy limits</x:v>
      </x:c>
      <x:c r="O51" s="13" t="str">
        <x:v>3 — The grant is possible but needs more resourcing or scope control</x:v>
      </x:c>
      <x:c r="P51" s="13" t="str">
        <x:v>4 — The grant is mostly manageable with minor supports</x:v>
      </x:c>
      <x:c r="Q51" s="13" t="str">
        <x:v>5 — The grant size is healthy, resourced, and operationally manageable</x:v>
      </x:c>
      <x:c r="R51" s="13" t="str">
        <x:v>N/A — Not applicable / unsafe to answer</x:v>
      </x:c>
      <x:c r="S51" s="13" t="str">
        <x:v>Single choice score (1–5 + N/A)</x:v>
      </x:c>
      <x:c r="T51" s="13" t="str">
        <x:v>Due diligence, finance &amp; risk; B5 Due Diligence, Operations &amp; Financial Viability; Due Diligence; Budget / Contract</x:v>
      </x:c>
      <x:c r="U51" s="13" t="str">
        <x:v>Original tested item G5.11 — statement and choices preserved</x:v>
      </x:c>
    </x:row>
    <x:row r="52">
      <x:c r="A52" s="13" t="str">
        <x:v>R06.01</x:v>
      </x:c>
      <x:c r="B52" s="13" t="str">
        <x:v>51</x:v>
      </x:c>
      <x:c r="C52" s="13" t="str">
        <x:v>G51</x:v>
      </x:c>
      <x:c r="D52" s="13" t="str">
        <x:v>R06</x:v>
      </x:c>
      <x:c r="E52" s="13" t="str">
        <x:v>Network position &amp; access routes</x:v>
      </x:c>
      <x:c r="F52" s="13" t="str">
        <x:v>D12</x:v>
      </x:c>
      <x:c r="G52" s="13" t="str">
        <x:v>Referrals and intermediaries</x:v>
      </x:c>
      <x:c r="H52" s="13" t="str">
        <x:v>B3 - Fit, Competitiveness &amp; Access</x:v>
      </x:c>
      <x:c r="I52" s="13" t="str"/>
      <x:c r="J52" s="13" t="str">
        <x:v>We belong to relevant coalitions, networks, or movement spaces</x:v>
      </x:c>
      <x:c r="K52" s="13" t="str">
        <x:v>Warm introduction availability</x:v>
      </x:c>
      <x:c r="L52" s="13" t="str">
        <x:v>Check whether your network membership is relevant, active, and connected to the work/funding ecosystem.</x:v>
      </x:c>
      <x:c r="M52" s="13" t="str">
        <x:v>1 — We are not connected to relevant networks or movement spaces</x:v>
      </x:c>
      <x:c r="N52" s="13" t="str">
        <x:v>2 — Connections exist but are passive, outdated, or weak</x:v>
      </x:c>
      <x:c r="O52" s="13" t="str">
        <x:v>3 — We belong to some relevant spaces but engagement is uneven</x:v>
      </x:c>
      <x:c r="P52" s="13" t="str">
        <x:v>4 — We are active in relevant networks with minor gaps</x:v>
      </x:c>
      <x:c r="Q52" s="13" t="str">
        <x:v>5 — We are meaningfully embedded in relevant networks/movements</x:v>
      </x:c>
      <x:c r="R52" s="13" t="str">
        <x:v>N/A — Not applicable / unsafe to answer</x:v>
      </x:c>
      <x:c r="S52" s="13" t="str">
        <x:v>Single choice score (1–5 + N/A)</x:v>
      </x:c>
      <x:c r="T52" s="13" t="str">
        <x:v>Network position &amp; access routes; B3 Fit, Competitiveness &amp; Access; Opportunity; Conversation</x:v>
      </x:c>
      <x:c r="U52" s="13" t="str">
        <x:v>Original tested item G6.1 — statement and choices preserved</x:v>
      </x:c>
    </x:row>
    <x:row r="53">
      <x:c r="A53" s="13" t="str">
        <x:v>R06.02</x:v>
      </x:c>
      <x:c r="B53" s="13" t="str">
        <x:v>52</x:v>
      </x:c>
      <x:c r="C53" s="13" t="str">
        <x:v>G52</x:v>
      </x:c>
      <x:c r="D53" s="13" t="str">
        <x:v>R06</x:v>
      </x:c>
      <x:c r="E53" s="13" t="str">
        <x:v>Network position &amp; access routes</x:v>
      </x:c>
      <x:c r="F53" s="13" t="str">
        <x:v>D12</x:v>
      </x:c>
      <x:c r="G53" s="13" t="str">
        <x:v>Referrals and intermediaries</x:v>
      </x:c>
      <x:c r="H53" s="13" t="str">
        <x:v>B3 - Fit, Competitiveness &amp; Access</x:v>
      </x:c>
      <x:c r="I53" s="13" t="str"/>
      <x:c r="J53" s="13" t="str">
        <x:v>We contribute to solidarity or collaborations meaningfully, such as securing funding, sharing risk, coordinating, or strengthening others</x:v>
      </x:c>
      <x:c r="K53" s="13" t="str">
        <x:v>Referral and reference network strength</x:v>
      </x:c>
      <x:c r="L53" s="13" t="str">
        <x:v>Assess whether collaboration is reciprocal and useful, not just branding.</x:v>
      </x:c>
      <x:c r="M53" s="13" t="str">
        <x:v>1 — We rarely contribute to solidarity or collaborations</x:v>
      </x:c>
      <x:c r="N53" s="13" t="str">
        <x:v>2 — Contributions are occasional or mostly symbolic</x:v>
      </x:c>
      <x:c r="O53" s="13" t="str">
        <x:v>3 — We contribute in some useful ways but inconsistently</x:v>
      </x:c>
      <x:c r="P53" s="13" t="str">
        <x:v>4 — We contribute meaningfully in most collaborations</x:v>
      </x:c>
      <x:c r="Q53" s="13" t="str">
        <x:v>5 — We are known for generous, strategic, and reliable collaboration</x:v>
      </x:c>
      <x:c r="R53" s="13" t="str">
        <x:v>N/A — Not applicable / unsafe to answer</x:v>
      </x:c>
      <x:c r="S53" s="13" t="str">
        <x:v>Single choice score (1–5 + N/A)</x:v>
      </x:c>
      <x:c r="T53" s="13" t="str">
        <x:v>Network position &amp; access routes; B3 Fit, Competitiveness &amp; Access; Opportunity; Conversation</x:v>
      </x:c>
      <x:c r="U53" s="13" t="str">
        <x:v>Original tested item G6.2 — statement and choices preserved</x:v>
      </x:c>
    </x:row>
    <x:row r="54">
      <x:c r="A54" s="13" t="str">
        <x:v>R06.03</x:v>
      </x:c>
      <x:c r="B54" s="13" t="str">
        <x:v>53</x:v>
      </x:c>
      <x:c r="C54" s="13" t="str">
        <x:v>G53</x:v>
      </x:c>
      <x:c r="D54" s="13" t="str">
        <x:v>R06</x:v>
      </x:c>
      <x:c r="E54" s="13" t="str">
        <x:v>Network position &amp; access routes</x:v>
      </x:c>
      <x:c r="F54" s="13" t="str">
        <x:v>D12</x:v>
      </x:c>
      <x:c r="G54" s="13" t="str">
        <x:v>Referrals and intermediaries</x:v>
      </x:c>
      <x:c r="H54" s="13" t="str">
        <x:v>B3 - Fit, Competitiveness &amp; Access</x:v>
      </x:c>
      <x:c r="I54" s="13" t="str"/>
      <x:c r="J54" s="13" t="str">
        <x:v>In the last 12 months, we have co-designed or shared credit with peer organisations</x:v>
      </x:c>
      <x:c r="K54" s="13" t="str">
        <x:v>Intermediary route options</x:v>
      </x:c>
      <x:c r="L54" s="13" t="str">
        <x:v>Check whether collaboration practice includes shared design, shared visibility, and fair credit.</x:v>
      </x:c>
      <x:c r="M54" s="13" t="str">
        <x:v>1 — No recent co-design or shared credit with peers</x:v>
      </x:c>
      <x:c r="N54" s="13" t="str">
        <x:v>2 — Some peer work happened but credit/design was uneven</x:v>
      </x:c>
      <x:c r="O54" s="13" t="str">
        <x:v>3 — A few examples exist but practice is inconsistent</x:v>
      </x:c>
      <x:c r="P54" s="13" t="str">
        <x:v>4 — We mostly co-design and share credit fairly</x:v>
      </x:c>
      <x:c r="Q54" s="13" t="str">
        <x:v>5 — Recent collaborations show strong co-design and shared credit</x:v>
      </x:c>
      <x:c r="R54" s="13" t="str">
        <x:v>N/A — Not applicable / unsafe to answer</x:v>
      </x:c>
      <x:c r="S54" s="13" t="str">
        <x:v>Single choice score (1–5 + N/A)</x:v>
      </x:c>
      <x:c r="T54" s="13" t="str">
        <x:v>Network position &amp; access routes; B3 Fit, Competitiveness &amp; Access; Opportunity; Conversation</x:v>
      </x:c>
      <x:c r="U54" s="13" t="str">
        <x:v>Original tested item G6.3 — statement and choices preserved</x:v>
      </x:c>
    </x:row>
    <x:row r="55">
      <x:c r="A55" s="13" t="str">
        <x:v>R06.04</x:v>
      </x:c>
      <x:c r="B55" s="13" t="str">
        <x:v>54</x:v>
      </x:c>
      <x:c r="C55" s="13" t="str">
        <x:v>G54</x:v>
      </x:c>
      <x:c r="D55" s="13" t="str">
        <x:v>R06</x:v>
      </x:c>
      <x:c r="E55" s="13" t="str">
        <x:v>Network position &amp; access routes</x:v>
      </x:c>
      <x:c r="F55" s="13" t="str">
        <x:v>D12</x:v>
      </x:c>
      <x:c r="G55" s="13" t="str">
        <x:v>Referrals and intermediaries</x:v>
      </x:c>
      <x:c r="H55" s="13" t="str">
        <x:v>B3 - Fit, Competitiveness &amp; Access</x:v>
      </x:c>
      <x:c r="I55" s="13" t="str"/>
      <x:c r="J55" s="13" t="str">
        <x:v>Peers have publicly or privately praised our reliability</x:v>
      </x:c>
      <x:c r="K55" s="13" t="str">
        <x:v>Access-route owner per priority funder</x:v>
      </x:c>
      <x:c r="L55" s="13" t="str">
        <x:v>Answer based on actual praise, referrals, invitations, feedback, or reputation signals from peers.</x:v>
      </x:c>
      <x:c r="M55" s="13" t="str">
        <x:v>1 — Peers do not currently signal reliability or trust</x:v>
      </x:c>
      <x:c r="N55" s="13" t="str">
        <x:v>2 — Praise is rare, unclear, or not from relevant peers</x:v>
      </x:c>
      <x:c r="O55" s="13" t="str">
        <x:v>3 — Some peers see us as reliable, but evidence is limited</x:v>
      </x:c>
      <x:c r="P55" s="13" t="str">
        <x:v>4 — Several relevant peers praise or trust our reliability</x:v>
      </x:c>
      <x:c r="Q55" s="13" t="str">
        <x:v>5 — Peers consistently recognise us as reliable and worth working with</x:v>
      </x:c>
      <x:c r="R55" s="13" t="str">
        <x:v>N/A — Not applicable / unsafe to answer</x:v>
      </x:c>
      <x:c r="S55" s="13" t="str">
        <x:v>Single choice score (1–5 + N/A)</x:v>
      </x:c>
      <x:c r="T55" s="13" t="str">
        <x:v>Network position &amp; access routes; B3 Fit, Competitiveness &amp; Access; Opportunity; Conversation</x:v>
      </x:c>
      <x:c r="U55" s="13" t="str">
        <x:v>Original tested item G6.4 — statement and choices preserved</x:v>
      </x:c>
    </x:row>
    <x:row r="56">
      <x:c r="A56" s="13" t="str">
        <x:v>R07.04</x:v>
      </x:c>
      <x:c r="B56" s="13" t="str">
        <x:v>55</x:v>
      </x:c>
      <x:c r="C56" s="13" t="str">
        <x:v>G55</x:v>
      </x:c>
      <x:c r="D56" s="13" t="str">
        <x:v>R07</x:v>
      </x:c>
      <x:c r="E56" s="13" t="str">
        <x:v>Relationship, leadership &amp; visibility</x:v>
      </x:c>
      <x:c r="F56" s="13" t="str">
        <x:v>D13</x:v>
      </x:c>
      <x:c r="G56" s="13" t="str">
        <x:v>Relationship management</x:v>
      </x:c>
      <x:c r="H56" s="13" t="str">
        <x:v>B3 - Fit, Competitiveness &amp; Access</x:v>
      </x:c>
      <x:c r="I56" s="13" t="str"/>
      <x:c r="J56" s="13" t="str">
        <x:v>We have visible or well-respected staff and leadership who strengthen trust in the work</x:v>
      </x:c>
      <x:c r="K56" s="13" t="str">
        <x:v>Advisor, champion or board connector use</x:v>
      </x:c>
      <x:c r="L56" s="13" t="str">
        <x:v>Assess whether leadership credibility supports trust without making the organisation dependent on celebrity or one person.</x:v>
      </x:c>
      <x:c r="M56" s="13" t="str">
        <x:v>1 — Leadership credibility is not visible or trusted externally</x:v>
      </x:c>
      <x:c r="N56" s="13" t="str">
        <x:v>2 — Some credibility exists but is narrow or person-dependent</x:v>
      </x:c>
      <x:c r="O56" s="13" t="str">
        <x:v>3 — Leadership credibility helps in some spaces but needs broader proof</x:v>
      </x:c>
      <x:c r="P56" s="13" t="str">
        <x:v>4 — Leadership mostly strengthens trust with minor gaps</x:v>
      </x:c>
      <x:c r="Q56" s="13" t="str">
        <x:v>5 — Leadership is respected, relevant, and strengthens organisational trust</x:v>
      </x:c>
      <x:c r="R56" s="13" t="str">
        <x:v>N/A — Not applicable / unsafe to answer</x:v>
      </x:c>
      <x:c r="S56" s="13" t="str">
        <x:v>Single choice score (1–5 + N/A)</x:v>
      </x:c>
      <x:c r="T56" s="13" t="str">
        <x:v>Relationship, leadership &amp; visibility; B3 Fit, Competitiveness &amp; Access; Conversation; Award/Renewal</x:v>
      </x:c>
      <x:c r="U56" s="13" t="str">
        <x:v>Original tested item G6.5 — statement and choices preserved</x:v>
      </x:c>
    </x:row>
    <x:row r="57">
      <x:c r="A57" s="13" t="str">
        <x:v>R06.05</x:v>
      </x:c>
      <x:c r="B57" s="13" t="str">
        <x:v>56</x:v>
      </x:c>
      <x:c r="C57" s="13" t="str">
        <x:v>G56</x:v>
      </x:c>
      <x:c r="D57" s="13" t="str">
        <x:v>R06</x:v>
      </x:c>
      <x:c r="E57" s="13" t="str">
        <x:v>Network position &amp; access routes</x:v>
      </x:c>
      <x:c r="F57" s="13" t="str">
        <x:v>D12</x:v>
      </x:c>
      <x:c r="G57" s="13" t="str">
        <x:v>Referrals and intermediaries</x:v>
      </x:c>
      <x:c r="H57" s="13" t="str">
        <x:v>B3 - Fit, Competitiveness &amp; Access</x:v>
      </x:c>
      <x:c r="I57" s="13" t="str"/>
      <x:c r="J57" s="13" t="str">
        <x:v>We have warm introductions or relationships with potential funders</x:v>
      </x:c>
      <x:c r="K57" s="13" t="str">
        <x:v>Peer bridge and movement ally routes</x:v>
      </x:c>
      <x:c r="L57" s="13" t="str">
        <x:v>Check whether access exists through real relationships, not only public emails or application portals.</x:v>
      </x:c>
      <x:c r="M57" s="13" t="str">
        <x:v>1 — No warm routes to potential funders exist</x:v>
      </x:c>
      <x:c r="N57" s="13" t="str">
        <x:v>2 — A few weak or outdated introductions exist</x:v>
      </x:c>
      <x:c r="O57" s="13" t="str">
        <x:v>3 — Some warm routes exist but need nurturing or clarity</x:v>
      </x:c>
      <x:c r="P57" s="13" t="str">
        <x:v>4 — Several relevant warm routes are active</x:v>
      </x:c>
      <x:c r="Q57" s="13" t="str">
        <x:v>5 — Priority funders have warm, trusted, and usable access routes</x:v>
      </x:c>
      <x:c r="R57" s="13" t="str">
        <x:v>N/A — Not applicable / unsafe to answer</x:v>
      </x:c>
      <x:c r="S57" s="13" t="str">
        <x:v>Single choice score (1–5 + N/A)</x:v>
      </x:c>
      <x:c r="T57" s="13" t="str">
        <x:v>Network position &amp; access routes; B3 Fit, Competitiveness &amp; Access; Opportunity; Conversation</x:v>
      </x:c>
      <x:c r="U57" s="13" t="str">
        <x:v>Original tested item G6.6 — statement and choices preserved</x:v>
      </x:c>
    </x:row>
    <x:row r="58">
      <x:c r="A58" s="13" t="str">
        <x:v>R07.05</x:v>
      </x:c>
      <x:c r="B58" s="13" t="str">
        <x:v>57</x:v>
      </x:c>
      <x:c r="C58" s="13" t="str">
        <x:v>G57</x:v>
      </x:c>
      <x:c r="D58" s="13" t="str">
        <x:v>R07</x:v>
      </x:c>
      <x:c r="E58" s="13" t="str">
        <x:v>Relationship, leadership &amp; visibility</x:v>
      </x:c>
      <x:c r="F58" s="13" t="str">
        <x:v>D13</x:v>
      </x:c>
      <x:c r="G58" s="13" t="str">
        <x:v>Relationship management</x:v>
      </x:c>
      <x:c r="H58" s="13" t="str">
        <x:v>B3 - Fit, Competitiveness &amp; Access</x:v>
      </x:c>
      <x:c r="I58" s="13" t="str"/>
      <x:c r="J58" s="13" t="str">
        <x:v>We proactively manage relationships with funders through updates and engagement</x:v>
      </x:c>
      <x:c r="K58" s="13" t="str">
        <x:v>Peer reputation and partner familiarity</x:v>
      </x:c>
      <x:c r="L58" s="13" t="str">
        <x:v>Assess whether funder relationships are maintained before you need money.</x:v>
      </x:c>
      <x:c r="M58" s="13" t="str">
        <x:v>1 — We only contact funders when applying or in crisis</x:v>
      </x:c>
      <x:c r="N58" s="13" t="str">
        <x:v>2 — Updates are irregular or depend on one person</x:v>
      </x:c>
      <x:c r="O58" s="13" t="str">
        <x:v>3 — Some funder engagement happens but lacks rhythm</x:v>
      </x:c>
      <x:c r="P58" s="13" t="str">
        <x:v>4 — Funder relationships are mostly maintained with useful updates</x:v>
      </x:c>
      <x:c r="Q58" s="13" t="str">
        <x:v>5 — Funder engagement is intentional, warm, consistent, and strategic</x:v>
      </x:c>
      <x:c r="R58" s="13" t="str">
        <x:v>N/A — Not applicable / unsafe to answer</x:v>
      </x:c>
      <x:c r="S58" s="13" t="str">
        <x:v>Single choice score (1–5 + N/A)</x:v>
      </x:c>
      <x:c r="T58" s="13" t="str">
        <x:v>Relationship, leadership &amp; visibility; B3 Fit, Competitiveness &amp; Access; Conversation; Award/Renewal</x:v>
      </x:c>
      <x:c r="U58" s="13" t="str">
        <x:v>Original tested item G6.7 — statement and choices preserved</x:v>
      </x:c>
    </x:row>
    <x:row r="59">
      <x:c r="A59" s="13" t="str">
        <x:v>R07.06</x:v>
      </x:c>
      <x:c r="B59" s="13" t="str">
        <x:v>58</x:v>
      </x:c>
      <x:c r="C59" s="13" t="str">
        <x:v>G58</x:v>
      </x:c>
      <x:c r="D59" s="13" t="str">
        <x:v>R07</x:v>
      </x:c>
      <x:c r="E59" s="13" t="str">
        <x:v>Relationship, leadership &amp; visibility</x:v>
      </x:c>
      <x:c r="F59" s="13" t="str">
        <x:v>D13</x:v>
      </x:c>
      <x:c r="G59" s="13" t="str">
        <x:v>Relationship management</x:v>
      </x:c>
      <x:c r="H59" s="13" t="str">
        <x:v>B3 - Fit, Competitiveness &amp; Access</x:v>
      </x:c>
      <x:c r="I59" s="13" t="str"/>
      <x:c r="J59" s="13" t="str">
        <x:v>Our work strengthens the wider ecosystem, not only us</x:v>
      </x:c>
      <x:c r="K59" s="13" t="str">
        <x:v>Community visibility and grounded presence</x:v>
      </x:c>
      <x:c r="L59" s="13" t="str">
        <x:v>Check whether your work builds shared capacity, knowledge, safety, infrastructure, or movement power.</x:v>
      </x:c>
      <x:c r="M59" s="13" t="str">
        <x:v>1 — Our work mainly benefits us and does not show ecosystem value</x:v>
      </x:c>
      <x:c r="N59" s="13" t="str">
        <x:v>2 — Ecosystem value is claimed but not clearly evidenced</x:v>
      </x:c>
      <x:c r="O59" s="13" t="str">
        <x:v>3 — Some ecosystem value exists but could be clearer</x:v>
      </x:c>
      <x:c r="P59" s="13" t="str">
        <x:v>4 — Our work mostly strengthens peers/movements as well as us</x:v>
      </x:c>
      <x:c r="Q59" s="13" t="str">
        <x:v>5 — Ecosystem contribution is clear, evidenced, and valued by others</x:v>
      </x:c>
      <x:c r="R59" s="13" t="str">
        <x:v>N/A — Not applicable / unsafe to answer</x:v>
      </x:c>
      <x:c r="S59" s="13" t="str">
        <x:v>Single choice score (1–5 + N/A)</x:v>
      </x:c>
      <x:c r="T59" s="13" t="str">
        <x:v>Relationship, leadership &amp; visibility; B3 Fit, Competitiveness &amp; Access; Conversation; Award/Renewal</x:v>
      </x:c>
      <x:c r="U59" s="13" t="str">
        <x:v>Original tested item G6.8 — statement and choices preserved</x:v>
      </x:c>
    </x:row>
    <x:row r="60">
      <x:c r="A60" s="13" t="str">
        <x:v>R06.06</x:v>
      </x:c>
      <x:c r="B60" s="13" t="str">
        <x:v>59</x:v>
      </x:c>
      <x:c r="C60" s="13" t="str">
        <x:v>G59</x:v>
      </x:c>
      <x:c r="D60" s="13" t="str">
        <x:v>R06</x:v>
      </x:c>
      <x:c r="E60" s="13" t="str">
        <x:v>Network position &amp; access routes</x:v>
      </x:c>
      <x:c r="F60" s="13" t="str">
        <x:v>D12</x:v>
      </x:c>
      <x:c r="G60" s="13" t="str">
        <x:v>Referrals and intermediaries</x:v>
      </x:c>
      <x:c r="H60" s="13" t="str">
        <x:v>B3 - Fit, Competitiveness &amp; Access</x:v>
      </x:c>
      <x:c r="I60" s="13" t="str"/>
      <x:c r="J60" s="13" t="str">
        <x:v>Partners and peers include us in opportunities and referrals</x:v>
      </x:c>
      <x:c r="K60" s="13" t="str">
        <x:v>Direct funder contact pathway</x:v>
      </x:c>
      <x:c r="L60" s="13" t="str">
        <x:v>Assess whether others trust you enough to bring you into rooms, proposals, referrals, or shared opportunities.</x:v>
      </x:c>
      <x:c r="M60" s="13" t="str">
        <x:v>1 — Partners/peers rarely include us in opportunities</x:v>
      </x:c>
      <x:c r="N60" s="13" t="str">
        <x:v>2 — Inclusion happens occasionally but is not reliable</x:v>
      </x:c>
      <x:c r="O60" s="13" t="str">
        <x:v>3 — Some referrals or invitations happen, with gaps</x:v>
      </x:c>
      <x:c r="P60" s="13" t="str">
        <x:v>4 — Partners/peers often include us in relevant opportunities</x:v>
      </x:c>
      <x:c r="Q60" s="13" t="str">
        <x:v>5 — We are regularly referred, invited, and included because we are trusted</x:v>
      </x:c>
      <x:c r="R60" s="13" t="str">
        <x:v>N/A — Not applicable / unsafe to answer</x:v>
      </x:c>
      <x:c r="S60" s="13" t="str">
        <x:v>Single choice score (1–5 + N/A)</x:v>
      </x:c>
      <x:c r="T60" s="13" t="str">
        <x:v>Network position &amp; access routes; B3 Fit, Competitiveness &amp; Access; Opportunity; Conversation</x:v>
      </x:c>
      <x:c r="U60" s="13" t="str">
        <x:v>Original tested item G6.9 — statement and choices preserved</x:v>
      </x:c>
    </x:row>
    <x:row r="61">
      <x:c r="A61" s="13" t="str">
        <x:v>R01.02</x:v>
      </x:c>
      <x:c r="B61" s="13" t="str">
        <x:v>60</x:v>
      </x:c>
      <x:c r="C61" s="13" t="str">
        <x:v>G60</x:v>
      </x:c>
      <x:c r="D61" s="13" t="str">
        <x:v>R01</x:v>
      </x:c>
      <x:c r="E61" s="13" t="str">
        <x:v>Context, legal route &amp; compliance</x:v>
      </x:c>
      <x:c r="F61" s="13" t="str">
        <x:v>D01</x:v>
      </x:c>
      <x:c r="G61" s="13" t="str">
        <x:v>Operating context and safety</x:v>
      </x:c>
      <x:c r="H61" s="13" t="str">
        <x:v>B1 - Context, Eligibility &amp; Compliance</x:v>
      </x:c>
      <x:c r="I61" s="13" t="str"/>
      <x:c r="J61" s="13" t="str">
        <x:v>In the last 12 months, climate or environmental shocks disrupted us</x:v>
      </x:c>
      <x:c r="K61" s="13" t="str">
        <x:v>Civic space and political sensitivity</x:v>
      </x:c>
      <x:c r="L61" s="13" t="str">
        <x:v>Score the level of disruption and resilience. A higher score means lower disruption or stronger mitigation.</x:v>
      </x:c>
      <x:c r="M61" s="13" t="str">
        <x:v>1 — Climate/environmental shocks severely disrupted delivery or funding</x:v>
      </x:c>
      <x:c r="N61" s="13" t="str">
        <x:v>2 — Shocks caused major disruption and weak recovery</x:v>
      </x:c>
      <x:c r="O61" s="13" t="str">
        <x:v>3 — Shocks caused moderate disruption with some recovery</x:v>
      </x:c>
      <x:c r="P61" s="13" t="str">
        <x:v>4 — Shocks caused minor disruption or were mostly managed</x:v>
      </x:c>
      <x:c r="Q61" s="13" t="str">
        <x:v>5 — No material disruption, or resilience measures worked well</x:v>
      </x:c>
      <x:c r="R61" s="13" t="str">
        <x:v>N/A — Not applicable / unsafe to answer</x:v>
      </x:c>
      <x:c r="S61" s="13" t="str">
        <x:v>Single choice score (1–5 + N/A)</x:v>
      </x:c>
      <x:c r="T61" s="13" t="str">
        <x:v>Context, legal route &amp; compliance; B1 Context, Eligibility &amp; Compliance; Opportunity; Eligibility; Due Diligence</x:v>
      </x:c>
      <x:c r="U61" s="13" t="str">
        <x:v>Original tested item G7.1 — statement and choices preserved</x:v>
      </x:c>
    </x:row>
    <x:row r="62">
      <x:c r="A62" s="13" t="str">
        <x:v>R01.03</x:v>
      </x:c>
      <x:c r="B62" s="13" t="str">
        <x:v>61</x:v>
      </x:c>
      <x:c r="C62" s="13" t="str">
        <x:v>G61</x:v>
      </x:c>
      <x:c r="D62" s="13" t="str">
        <x:v>R01</x:v>
      </x:c>
      <x:c r="E62" s="13" t="str">
        <x:v>Context, legal route &amp; compliance</x:v>
      </x:c>
      <x:c r="F62" s="13" t="str">
        <x:v>D01</x:v>
      </x:c>
      <x:c r="G62" s="13" t="str">
        <x:v>Operating context and safety</x:v>
      </x:c>
      <x:c r="H62" s="13" t="str">
        <x:v>B1 - Context, Eligibility &amp; Compliance</x:v>
      </x:c>
      <x:c r="I62" s="13" t="str"/>
      <x:c r="J62" s="13" t="str">
        <x:v>In the last 12 months, economic shocks disrupted us</x:v>
      </x:c>
      <x:c r="K62" s="13" t="str">
        <x:v>Legal identity and registration clarity</x:v>
      </x:c>
      <x:c r="L62" s="13" t="str">
        <x:v>Score inflation, currency, banking, cost-of-living, donor cuts, or supplier-cost disruption. Higher score means better resilience.</x:v>
      </x:c>
      <x:c r="M62" s="13" t="str">
        <x:v>1 — Economic shocks severely disrupted operations or funding</x:v>
      </x:c>
      <x:c r="N62" s="13" t="str">
        <x:v>2 — Economic shocks created major unplanned pressure</x:v>
      </x:c>
      <x:c r="O62" s="13" t="str">
        <x:v>3 — Economic shocks created moderate pressure with partial mitigation</x:v>
      </x:c>
      <x:c r="P62" s="13" t="str">
        <x:v>4 — Economic shocks created minor pressure that was mostly managed</x:v>
      </x:c>
      <x:c r="Q62" s="13" t="str">
        <x:v>5 — No material disruption, or financial resilience measures worked well</x:v>
      </x:c>
      <x:c r="R62" s="13" t="str">
        <x:v>N/A — Not applicable / unsafe to answer</x:v>
      </x:c>
      <x:c r="S62" s="13" t="str">
        <x:v>Single choice score (1–5 + N/A)</x:v>
      </x:c>
      <x:c r="T62" s="13" t="str">
        <x:v>Context, legal route &amp; compliance; B1 Context, Eligibility &amp; Compliance; Opportunity; Eligibility; Due Diligence</x:v>
      </x:c>
      <x:c r="U62" s="13" t="str">
        <x:v>Original tested item G7.2 — statement and choices preserved</x:v>
      </x:c>
    </x:row>
    <x:row r="63">
      <x:c r="A63" s="13" t="str">
        <x:v>R01.04</x:v>
      </x:c>
      <x:c r="B63" s="13" t="str">
        <x:v>62</x:v>
      </x:c>
      <x:c r="C63" s="13" t="str">
        <x:v>G62</x:v>
      </x:c>
      <x:c r="D63" s="13" t="str">
        <x:v>R01</x:v>
      </x:c>
      <x:c r="E63" s="13" t="str">
        <x:v>Context, legal route &amp; compliance</x:v>
      </x:c>
      <x:c r="F63" s="13" t="str">
        <x:v>D01</x:v>
      </x:c>
      <x:c r="G63" s="13" t="str">
        <x:v>Operating context and safety</x:v>
      </x:c>
      <x:c r="H63" s="13" t="str">
        <x:v>B1 - Context, Eligibility &amp; Compliance</x:v>
      </x:c>
      <x:c r="I63" s="13" t="str"/>
      <x:c r="J63" s="13" t="str">
        <x:v>In the last 12 months, political or legal shocks and shifts disrupted us</x:v>
      </x:c>
      <x:c r="K63" s="13" t="str">
        <x:v>Eligibility documentation consistency</x:v>
      </x:c>
      <x:c r="L63" s="13" t="str">
        <x:v>Score regulatory, legal, political, security, or civic-space disruption. Higher score means lower disruption or stronger mitigation.</x:v>
      </x:c>
      <x:c r="M63" s="13" t="str">
        <x:v>1 — Political/legal shifts severely disrupted or endangered the work</x:v>
      </x:c>
      <x:c r="N63" s="13" t="str">
        <x:v>2 — Shifts created major restrictions, risk, or delays</x:v>
      </x:c>
      <x:c r="O63" s="13" t="str">
        <x:v>3 — Shifts created moderate disruption with partial workarounds</x:v>
      </x:c>
      <x:c r="P63" s="13" t="str">
        <x:v>4 — Shifts created minor disruption that was mostly managed</x:v>
      </x:c>
      <x:c r="Q63" s="13" t="str">
        <x:v>5 — No material disruption, or strong mitigation kept work stable</x:v>
      </x:c>
      <x:c r="R63" s="13" t="str">
        <x:v>N/A — Not applicable / unsafe to answer</x:v>
      </x:c>
      <x:c r="S63" s="13" t="str">
        <x:v>Single choice score (1–5 + N/A)</x:v>
      </x:c>
      <x:c r="T63" s="13" t="str">
        <x:v>Context, legal route &amp; compliance; B1 Context, Eligibility &amp; Compliance; Opportunity; Eligibility; Due Diligence</x:v>
      </x:c>
      <x:c r="U63" s="13" t="str">
        <x:v>Original tested item G7.3 — statement and choices preserved</x:v>
      </x:c>
    </x:row>
    <x:row r="64">
      <x:c r="A64" s="13" t="str">
        <x:v>R01.05</x:v>
      </x:c>
      <x:c r="B64" s="13" t="str">
        <x:v>63</x:v>
      </x:c>
      <x:c r="C64" s="13" t="str">
        <x:v>G63</x:v>
      </x:c>
      <x:c r="D64" s="13" t="str">
        <x:v>R01</x:v>
      </x:c>
      <x:c r="E64" s="13" t="str">
        <x:v>Context, legal route &amp; compliance</x:v>
      </x:c>
      <x:c r="F64" s="13" t="str">
        <x:v>D01</x:v>
      </x:c>
      <x:c r="G64" s="13" t="str">
        <x:v>Operating context and safety</x:v>
      </x:c>
      <x:c r="H64" s="13" t="str">
        <x:v>B1 - Context, Eligibility &amp; Compliance</x:v>
      </x:c>
      <x:c r="I64" s="13" t="str"/>
      <x:c r="J64" s="13" t="str">
        <x:v>In the last 12 months, changes in our context affected our funding options negatively</x:v>
      </x:c>
      <x:c r="K64" s="13" t="str">
        <x:v>Name, banking and registration consistency</x:v>
      </x:c>
      <x:c r="L64" s="13" t="str">
        <x:v>Assess whether external context reduced eligibility, access, donor appetite, payment routes, safety, or funder confidence.</x:v>
      </x:c>
      <x:c r="M64" s="13" t="str">
        <x:v>1 — Context changes seriously reduced our funding options</x:v>
      </x:c>
      <x:c r="N64" s="13" t="str">
        <x:v>2 — Context changes closed or weakened several options</x:v>
      </x:c>
      <x:c r="O64" s="13" t="str">
        <x:v>3 — Context changes created mixed or moderate funding barriers</x:v>
      </x:c>
      <x:c r="P64" s="13" t="str">
        <x:v>4 — Context changes created minor barriers we can manage</x:v>
      </x:c>
      <x:c r="Q64" s="13" t="str">
        <x:v>5 — Context changes did not reduce options, or we adapted well</x:v>
      </x:c>
      <x:c r="R64" s="13" t="str">
        <x:v>N/A — Not applicable / unsafe to answer</x:v>
      </x:c>
      <x:c r="S64" s="13" t="str">
        <x:v>Single choice score (1–5 + N/A)</x:v>
      </x:c>
      <x:c r="T64" s="13" t="str">
        <x:v>Context, legal route &amp; compliance; B1 Context, Eligibility &amp; Compliance; Opportunity; Eligibility; Due Diligence</x:v>
      </x:c>
      <x:c r="U64" s="13" t="str">
        <x:v>Original tested item G7.4 — statement and choices preserved</x:v>
      </x:c>
    </x:row>
    <x:row r="65">
      <x:c r="A65" s="13" t="str">
        <x:v>R01.06</x:v>
      </x:c>
      <x:c r="B65" s="13" t="str">
        <x:v>64</x:v>
      </x:c>
      <x:c r="C65" s="13" t="str">
        <x:v>G64</x:v>
      </x:c>
      <x:c r="D65" s="13" t="str">
        <x:v>R01</x:v>
      </x:c>
      <x:c r="E65" s="13" t="str">
        <x:v>Context, legal route &amp; compliance</x:v>
      </x:c>
      <x:c r="F65" s="13" t="str">
        <x:v>D01</x:v>
      </x:c>
      <x:c r="G65" s="13" t="str">
        <x:v>Operating context and safety</x:v>
      </x:c>
      <x:c r="H65" s="13" t="str">
        <x:v>B1 - Context, Eligibility &amp; Compliance</x:v>
      </x:c>
      <x:c r="I65" s="13" t="str"/>
      <x:c r="J65" s="13" t="str">
        <x:v>In the past 12 months, funders have explicitly cited context, risk, or compliance as blockers</x:v>
      </x:c>
      <x:c r="K65" s="13" t="str">
        <x:v>Direct grant-receiving route clarity</x:v>
      </x:c>
      <x:c r="L65" s="13" t="str">
        <x:v>Answer from actual funder feedback, rejection reasons, due diligence concerns, or risk conversations.</x:v>
      </x:c>
      <x:c r="M65" s="13" t="str">
        <x:v>1 — Several funders cited context/risk/compliance as blockers</x:v>
      </x:c>
      <x:c r="N65" s="13" t="str">
        <x:v>2 — One or more funders raised serious concerns</x:v>
      </x:c>
      <x:c r="O65" s="13" t="str">
        <x:v>3 — Some concerns were raised but not decisive</x:v>
      </x:c>
      <x:c r="P65" s="13" t="str">
        <x:v>4 — Minor concerns were raised and are manageable</x:v>
      </x:c>
      <x:c r="Q65" s="13" t="str">
        <x:v>5 — No funder has cited context, risk, or compliance as a blocker</x:v>
      </x:c>
      <x:c r="R65" s="13" t="str">
        <x:v>N/A — Not applicable / unsafe to answer</x:v>
      </x:c>
      <x:c r="S65" s="13" t="str">
        <x:v>Single choice score (1–5 + N/A)</x:v>
      </x:c>
      <x:c r="T65" s="13" t="str">
        <x:v>Context, legal route &amp; compliance; B1 Context, Eligibility &amp; Compliance; Opportunity; Eligibility; Due Diligence</x:v>
      </x:c>
      <x:c r="U65" s="13" t="str">
        <x:v>Original tested item G7.5 — statement and choices preserved</x:v>
      </x:c>
    </x:row>
    <x:row r="66">
      <x:c r="A66" s="13" t="str">
        <x:v>R01.07</x:v>
      </x:c>
      <x:c r="B66" s="13" t="str">
        <x:v>65</x:v>
      </x:c>
      <x:c r="C66" s="13" t="str">
        <x:v>G65</x:v>
      </x:c>
      <x:c r="D66" s="13" t="str">
        <x:v>R01</x:v>
      </x:c>
      <x:c r="E66" s="13" t="str">
        <x:v>Context, legal route &amp; compliance</x:v>
      </x:c>
      <x:c r="F66" s="13" t="str">
        <x:v>D01</x:v>
      </x:c>
      <x:c r="G66" s="13" t="str">
        <x:v>Operating context and safety</x:v>
      </x:c>
      <x:c r="H66" s="13" t="str">
        <x:v>B1 - Context, Eligibility &amp; Compliance</x:v>
      </x:c>
      <x:c r="I66" s="13" t="str"/>
      <x:c r="J66" s="13" t="str">
        <x:v>In the last 12 months, changes in our context or movement affected our funding options positively</x:v>
      </x:c>
      <x:c r="K66" s="13" t="str">
        <x:v>Fiscal host or intermediary route readiness</x:v>
      </x:c>
      <x:c r="L66" s="13" t="str">
        <x:v>Score whether your context created openings: new urgency, visibility, policy windows, solidarity, or funder interest.</x:v>
      </x:c>
      <x:c r="M66" s="13" t="str">
        <x:v>1 — No positive funding openings emerged from context changes</x:v>
      </x:c>
      <x:c r="N66" s="13" t="str">
        <x:v>2 — Possible openings emerged but we have not used them</x:v>
      </x:c>
      <x:c r="O66" s="13" t="str">
        <x:v>3 — Some openings exist but need clearer strategy</x:v>
      </x:c>
      <x:c r="P66" s="13" t="str">
        <x:v>4 — Context created useful openings we are beginning to use</x:v>
      </x:c>
      <x:c r="Q66" s="13" t="str">
        <x:v>5 — Context created strong openings that we have translated into prospects</x:v>
      </x:c>
      <x:c r="R66" s="13" t="str">
        <x:v>N/A — Not applicable / unsafe to answer</x:v>
      </x:c>
      <x:c r="S66" s="13" t="str">
        <x:v>Single choice score (1–5 + N/A)</x:v>
      </x:c>
      <x:c r="T66" s="13" t="str">
        <x:v>Context, legal route &amp; compliance; B1 Context, Eligibility &amp; Compliance; Opportunity; Eligibility; Due Diligence</x:v>
      </x:c>
      <x:c r="U66" s="13" t="str">
        <x:v>Original tested item G7.6 — statement and choices preserved</x:v>
      </x:c>
    </x:row>
    <x:row r="67">
      <x:c r="A67" s="13" t="str">
        <x:v>R01.08</x:v>
      </x:c>
      <x:c r="B67" s="13" t="str">
        <x:v>66</x:v>
      </x:c>
      <x:c r="C67" s="13" t="str">
        <x:v>G66</x:v>
      </x:c>
      <x:c r="D67" s="13" t="str">
        <x:v>R01</x:v>
      </x:c>
      <x:c r="E67" s="13" t="str">
        <x:v>Context, legal route &amp; compliance</x:v>
      </x:c>
      <x:c r="F67" s="13" t="str">
        <x:v>D01</x:v>
      </x:c>
      <x:c r="G67" s="13" t="str">
        <x:v>Operating context and safety</x:v>
      </x:c>
      <x:c r="H67" s="13" t="str">
        <x:v>B1 - Context, Eligibility &amp; Compliance</x:v>
      </x:c>
      <x:c r="I67" s="13" t="str"/>
      <x:c r="J67" s="13" t="str">
        <x:v>Our country or region is facing banking, currency, or transfer challenges</x:v>
      </x:c>
      <x:c r="K67" s="13" t="str">
        <x:v>Compliance pack readiness</x:v>
      </x:c>
      <x:c r="L67" s="13" t="str">
        <x:v>Score route risk. Higher score means transfer issues are absent or strongly managed.</x:v>
      </x:c>
      <x:c r="M67" s="13" t="str">
        <x:v>1 — Banking/currency/transfer challenges seriously block funding routes</x:v>
      </x:c>
      <x:c r="N67" s="13" t="str">
        <x:v>2 — Challenges are major and workarounds are weak</x:v>
      </x:c>
      <x:c r="O67" s="13" t="str">
        <x:v>3 — Challenges exist but some routes remain usable</x:v>
      </x:c>
      <x:c r="P67" s="13" t="str">
        <x:v>4 — Challenges are minor or mostly managed</x:v>
      </x:c>
      <x:c r="Q67" s="13" t="str">
        <x:v>5 — No material transfer challenge, or verified routes are strong</x:v>
      </x:c>
      <x:c r="R67" s="13" t="str">
        <x:v>N/A — Not applicable / unsafe to answer</x:v>
      </x:c>
      <x:c r="S67" s="13" t="str">
        <x:v>Single choice score (1–5 + N/A)</x:v>
      </x:c>
      <x:c r="T67" s="13" t="str">
        <x:v>Context, legal route &amp; compliance; B1 Context, Eligibility &amp; Compliance; Opportunity; Eligibility; Due Diligence</x:v>
      </x:c>
      <x:c r="U67" s="13" t="str">
        <x:v>Original tested item G7.7 — statement and choices preserved</x:v>
      </x:c>
    </x:row>
    <x:row r="68">
      <x:c r="A68" s="13" t="str">
        <x:v>R01.09</x:v>
      </x:c>
      <x:c r="B68" s="13" t="str">
        <x:v>67</x:v>
      </x:c>
      <x:c r="C68" s="13" t="str">
        <x:v>G67</x:v>
      </x:c>
      <x:c r="D68" s="13" t="str">
        <x:v>R01</x:v>
      </x:c>
      <x:c r="E68" s="13" t="str">
        <x:v>Context, legal route &amp; compliance</x:v>
      </x:c>
      <x:c r="F68" s="13" t="str">
        <x:v>D01</x:v>
      </x:c>
      <x:c r="G68" s="13" t="str">
        <x:v>Operating context and safety</x:v>
      </x:c>
      <x:c r="H68" s="13" t="str">
        <x:v>B1 - Context, Eligibility &amp; Compliance</x:v>
      </x:c>
      <x:c r="I68" s="13" t="str"/>
      <x:c r="J68" s="13" t="str">
        <x:v>If direct funding is blocked, we have alternative routes such as fiscal hosting, regranting, intermediaries, consortia, or local partners</x:v>
      </x:c>
      <x:c r="K68" s="13" t="str">
        <x:v>Tax, statutory and reporting obligations clarity</x:v>
      </x:c>
      <x:c r="L68" s="13" t="str">
        <x:v>Assess whether alternative funding routes are real, ethical, safe, and usable.</x:v>
      </x:c>
      <x:c r="M68" s="13" t="str">
        <x:v>1 — No viable alternative funding routes exist</x:v>
      </x:c>
      <x:c r="N68" s="13" t="str">
        <x:v>2 — Possible routes are only ideas or risky workarounds</x:v>
      </x:c>
      <x:c r="O68" s="13" t="str">
        <x:v>3 — Some alternative routes exist but need verification</x:v>
      </x:c>
      <x:c r="P68" s="13" t="str">
        <x:v>4 — Alternative routes are mostly viable with minor gaps</x:v>
      </x:c>
      <x:c r="Q68" s="13" t="str">
        <x:v>5 — Multiple safe, verified, ethical routes are ready to use</x:v>
      </x:c>
      <x:c r="R68" s="13" t="str">
        <x:v>N/A — Not applicable / unsafe to answer</x:v>
      </x:c>
      <x:c r="S68" s="13" t="str">
        <x:v>Single choice score (1–5 + N/A)</x:v>
      </x:c>
      <x:c r="T68" s="13" t="str">
        <x:v>Context, legal route &amp; compliance; B1 Context, Eligibility &amp; Compliance; Opportunity; Eligibility; Due Diligence</x:v>
      </x:c>
      <x:c r="U68" s="13" t="str">
        <x:v>Original tested item G7.8 — statement and choices preserved</x:v>
      </x:c>
    </x:row>
    <x:row r="69">
      <x:c r="A69" s="13" t="str">
        <x:v>R01.10</x:v>
      </x:c>
      <x:c r="B69" s="13" t="str">
        <x:v>68</x:v>
      </x:c>
      <x:c r="C69" s="13" t="str">
        <x:v>G68</x:v>
      </x:c>
      <x:c r="D69" s="13" t="str">
        <x:v>R01</x:v>
      </x:c>
      <x:c r="E69" s="13" t="str">
        <x:v>Context, legal route &amp; compliance</x:v>
      </x:c>
      <x:c r="F69" s="13" t="str">
        <x:v>D01</x:v>
      </x:c>
      <x:c r="G69" s="13" t="str">
        <x:v>Operating context and safety</x:v>
      </x:c>
      <x:c r="H69" s="13" t="str">
        <x:v>B1 - Context, Eligibility &amp; Compliance</x:v>
      </x:c>
      <x:c r="I69" s="13" t="str"/>
      <x:c r="J69" s="13" t="str">
        <x:v>Our work type is politically sensitive or structurally excluded in ways that limit funder appetite</x:v>
      </x:c>
      <x:c r="K69" s="13" t="str">
        <x:v>Banking, currency or transfer constraint check</x:v>
      </x:c>
      <x:c r="L69" s="13" t="str">
        <x:v>Assess whether the work itself creates funder caution, eligibility barriers, safety concerns, or route restrictions. Higher score means the sensitivity is understood and manageable.</x:v>
      </x:c>
      <x:c r="M69" s="13" t="str">
        <x:v>1 — Our work type is highly sensitive and funders have told us this blocks funding</x:v>
      </x:c>
      <x:c r="N69" s="13" t="str">
        <x:v>2 — Our work type is sensitive and we see this as a barrier</x:v>
      </x:c>
      <x:c r="O69" s="13" t="str">
        <x:v>3 — Sensitivity creates some barriers but some funders still engage</x:v>
      </x:c>
      <x:c r="P69" s="13" t="str">
        <x:v>4 — Sensitivity is manageable with appropriate funder relationships</x:v>
      </x:c>
      <x:c r="Q69" s="13" t="str">
        <x:v>5 — Our work type does not present a significant political sensitivity barrier</x:v>
      </x:c>
      <x:c r="R69" s="13" t="str">
        <x:v>N/A — Not applicable / unsafe to answer</x:v>
      </x:c>
      <x:c r="S69" s="13" t="str">
        <x:v>Single choice score (1–5 + N/A)</x:v>
      </x:c>
      <x:c r="T69" s="13" t="str">
        <x:v>Context, legal route &amp; compliance; B1 Context, Eligibility &amp; Compliance; Opportunity; Eligibility; Due Diligence</x:v>
      </x:c>
      <x:c r="U69" s="13" t="str">
        <x:v>Original tested item G7.9 — statement and choices preserved</x:v>
      </x:c>
    </x:row>
    <x:row r="70">
      <x:c r="A70" s="13" t="str">
        <x:v>R01.11</x:v>
      </x:c>
      <x:c r="B70" s="13" t="str">
        <x:v>69</x:v>
      </x:c>
      <x:c r="C70" s="13" t="str">
        <x:v>G69</x:v>
      </x:c>
      <x:c r="D70" s="13" t="str">
        <x:v>R01</x:v>
      </x:c>
      <x:c r="E70" s="13" t="str">
        <x:v>Context, legal route &amp; compliance</x:v>
      </x:c>
      <x:c r="F70" s="13" t="str">
        <x:v>D01</x:v>
      </x:c>
      <x:c r="G70" s="13" t="str">
        <x:v>Operating context and safety</x:v>
      </x:c>
      <x:c r="H70" s="13" t="str">
        <x:v>B1 - Context, Eligibility &amp; Compliance</x:v>
      </x:c>
      <x:c r="I70" s="13" t="str"/>
      <x:c r="J70" s="13" t="str">
        <x:v>The operating environment for our work is currently well understood by the funders we approach</x:v>
      </x:c>
      <x:c r="K70" s="13" t="str">
        <x:v>Due-diligence exposure assessment</x:v>
      </x:c>
      <x:c r="L70" s="13" t="str">
        <x:v>Assess whether funders understand the risk, safety, political, civic-space, and community realities that shape your work, rather than misreading them as weak performance.</x:v>
      </x:c>
      <x:c r="M70" s="13" t="str">
        <x:v>1 — Funders clearly do not understand or underestimate the risk context</x:v>
      </x:c>
      <x:c r="N70" s="13" t="str">
        <x:v>2 — Some funders understand but others need education</x:v>
      </x:c>
      <x:c r="O70" s="13" t="str">
        <x:v>3 — Understanding is mixed and inconsistent</x:v>
      </x:c>
      <x:c r="P70" s="13" t="str">
        <x:v>4 — Most funders understand the context well</x:v>
      </x:c>
      <x:c r="Q70" s="13" t="str">
        <x:v>5 — Funders actively seek out work in this context and understand it deeply</x:v>
      </x:c>
      <x:c r="R70" s="13" t="str">
        <x:v>N/A — Not applicable / unsafe to answer</x:v>
      </x:c>
      <x:c r="S70" s="13" t="str">
        <x:v>Single choice score (1–5 + N/A)</x:v>
      </x:c>
      <x:c r="T70" s="13" t="str">
        <x:v>Context, legal route &amp; compliance; B1 Context, Eligibility &amp; Compliance; Opportunity; Eligibility; Due Diligence</x:v>
      </x:c>
      <x:c r="U70" s="13" t="str">
        <x:v>Original tested item G7.10 — statement and choices preserved</x:v>
      </x:c>
    </x:row>
    <x:row r="71">
      <x:c r="A71" s="13" t="str">
        <x:v>R02.01</x:v>
      </x:c>
      <x:c r="B71" s="13" t="str">
        <x:v>70</x:v>
      </x:c>
      <x:c r="C71" s="13" t="str">
        <x:v>G70</x:v>
      </x:c>
      <x:c r="D71" s="13" t="str">
        <x:v>R02</x:v>
      </x:c>
      <x:c r="E71" s="13" t="str">
        <x:v>Funder intelligence &amp; timing</x:v>
      </x:c>
      <x:c r="F71" s="13" t="str">
        <x:v>D03</x:v>
      </x:c>
      <x:c r="G71" s="13" t="str">
        <x:v>Funder market intelligence</x:v>
      </x:c>
      <x:c r="H71" s="13" t="str">
        <x:v>B2 - Funding Intelligence &amp; System Discipline</x:v>
      </x:c>
      <x:c r="I71" s="13" t="str"/>
      <x:c r="J71" s="13" t="str">
        <x:v>We have a healthy number and set of identified potential funders</x:v>
      </x:c>
      <x:c r="K71" s="13" t="str">
        <x:v>Current priority verification</x:v>
      </x:c>
      <x:c r="L71" s="13" t="str">
        <x:v>Check whether your prospect list is large enough, relevant enough, and segmented enough to support strategy.</x:v>
      </x:c>
      <x:c r="M71" s="13" t="str">
        <x:v>1 — No clear potential funders are identified</x:v>
      </x:c>
      <x:c r="N71" s="13" t="str">
        <x:v>2 — 1–3 possible funders are listed, with weak or untested fit</x:v>
      </x:c>
      <x:c r="O71" s="13" t="str">
        <x:v>3 — 4–8 possible funders exist with mixed fit or route clarity</x:v>
      </x:c>
      <x:c r="P71" s="13" t="str">
        <x:v>4 — 9–15 funders are segmented by fit, route, and timing</x:v>
      </x:c>
      <x:c r="Q71" s="13" t="str">
        <x:v>5 — 16+ strong prospects are mapped with fit, route, timing, and next step</x:v>
      </x:c>
      <x:c r="R71" s="13" t="str">
        <x:v>N/A — Not applicable / unsafe to answer</x:v>
      </x:c>
      <x:c r="S71" s="13" t="str">
        <x:v>Single choice score (1–5 + N/A)</x:v>
      </x:c>
      <x:c r="T71" s="13" t="str">
        <x:v>Funder intelligence &amp; timing; B2 Funding Intelligence &amp; System Discipline; Opportunity; Proposal Planning</x:v>
      </x:c>
      <x:c r="U71" s="13" t="str">
        <x:v>Original tested item G8.1 — statement and choices preserved</x:v>
      </x:c>
    </x:row>
    <x:row r="72">
      <x:c r="A72" s="13" t="str">
        <x:v>R02.02</x:v>
      </x:c>
      <x:c r="B72" s="13" t="str">
        <x:v>71</x:v>
      </x:c>
      <x:c r="C72" s="13" t="str">
        <x:v>G71</x:v>
      </x:c>
      <x:c r="D72" s="13" t="str">
        <x:v>R02</x:v>
      </x:c>
      <x:c r="E72" s="13" t="str">
        <x:v>Funder intelligence &amp; timing</x:v>
      </x:c>
      <x:c r="F72" s="13" t="str">
        <x:v>D03</x:v>
      </x:c>
      <x:c r="G72" s="13" t="str">
        <x:v>Funder market intelligence</x:v>
      </x:c>
      <x:c r="H72" s="13" t="str">
        <x:v>B2 - Funding Intelligence &amp; System Discipline</x:v>
      </x:c>
      <x:c r="I72" s="13" t="str"/>
      <x:c r="J72" s="13" t="str">
        <x:v>We stay current with potential funders by following target funders online, reading newsletters/reports, attending briefings, or tracking strategy shifts</x:v>
      </x:c>
      <x:c r="K72" s="13" t="str">
        <x:v>Funding cycle and timing intelligence</x:v>
      </x:c>
      <x:c r="L72" s="13" t="str">
        <x:v>Assess whether funder intelligence is current rather than based on old reputation.</x:v>
      </x:c>
      <x:c r="M72" s="13" t="str">
        <x:v>1 — We do not actively track funder changes</x:v>
      </x:c>
      <x:c r="N72" s="13" t="str">
        <x:v>2 — Tracking is occasional and easy to miss</x:v>
      </x:c>
      <x:c r="O72" s="13" t="str">
        <x:v>3 — Some funders are tracked but the system is incomplete</x:v>
      </x:c>
      <x:c r="P72" s="13" t="str">
        <x:v>4 — Most priority funders are tracked regularly</x:v>
      </x:c>
      <x:c r="Q72" s="13" t="str">
        <x:v>5 — Funder intelligence is current, systematic, and used in decisions</x:v>
      </x:c>
      <x:c r="R72" s="13" t="str">
        <x:v>N/A — Not applicable / unsafe to answer</x:v>
      </x:c>
      <x:c r="S72" s="13" t="str">
        <x:v>Single choice score (1–5 + N/A)</x:v>
      </x:c>
      <x:c r="T72" s="13" t="str">
        <x:v>Funder intelligence &amp; timing; B2 Funding Intelligence &amp; System Discipline; Opportunity; Proposal Planning</x:v>
      </x:c>
      <x:c r="U72" s="13" t="str">
        <x:v>Original tested item G8.2 — statement and choices preserved</x:v>
      </x:c>
    </x:row>
    <x:row r="73">
      <x:c r="A73" s="13" t="str">
        <x:v>R02.03</x:v>
      </x:c>
      <x:c r="B73" s="13" t="str">
        <x:v>72</x:v>
      </x:c>
      <x:c r="C73" s="13" t="str">
        <x:v>G72</x:v>
      </x:c>
      <x:c r="D73" s="13" t="str">
        <x:v>R02</x:v>
      </x:c>
      <x:c r="E73" s="13" t="str">
        <x:v>Funder intelligence &amp; timing</x:v>
      </x:c>
      <x:c r="F73" s="13" t="str">
        <x:v>D03</x:v>
      </x:c>
      <x:c r="G73" s="13" t="str">
        <x:v>Funder market intelligence</x:v>
      </x:c>
      <x:c r="H73" s="13" t="str">
        <x:v>B2 - Funding Intelligence &amp; System Discipline</x:v>
      </x:c>
      <x:c r="I73" s="13" t="str"/>
      <x:c r="J73" s="13" t="str">
        <x:v>We know when target funder types open calls or refresh strategies</x:v>
      </x:c>
      <x:c r="K73" s="13" t="str">
        <x:v>Grant size and modality intelligence</x:v>
      </x:c>
      <x:c r="L73" s="13" t="str">
        <x:v>Check whether you understand timing windows across foundations, bilaterals, regranters, emergency funds, CSI, or intermediaries.</x:v>
      </x:c>
      <x:c r="M73" s="13" t="str">
        <x:v>1 — We do not know key funder timing windows</x:v>
      </x:c>
      <x:c r="N73" s="13" t="str">
        <x:v>2 — Timing knowledge is guessed or remembered informally</x:v>
      </x:c>
      <x:c r="O73" s="13" t="str">
        <x:v>3 — Some timing windows are known but not complete</x:v>
      </x:c>
      <x:c r="P73" s="13" t="str">
        <x:v>4 — Most target timing windows are known and reviewed</x:v>
      </x:c>
      <x:c r="Q73" s="13" t="str">
        <x:v>5 — Timing windows are mapped, current, and built into our fundraising calendar</x:v>
      </x:c>
      <x:c r="R73" s="13" t="str">
        <x:v>N/A — Not applicable / unsafe to answer</x:v>
      </x:c>
      <x:c r="S73" s="13" t="str">
        <x:v>Single choice score (1–5 + N/A)</x:v>
      </x:c>
      <x:c r="T73" s="13" t="str">
        <x:v>Funder intelligence &amp; timing; B2 Funding Intelligence &amp; System Discipline; Opportunity; Proposal Planning</x:v>
      </x:c>
      <x:c r="U73" s="13" t="str">
        <x:v>Original tested item G8.3 — statement and choices preserved</x:v>
      </x:c>
    </x:row>
    <x:row r="74">
      <x:c r="A74" s="13" t="str">
        <x:v>R02.04</x:v>
      </x:c>
      <x:c r="B74" s="13" t="str">
        <x:v>73</x:v>
      </x:c>
      <x:c r="C74" s="13" t="str">
        <x:v>G73</x:v>
      </x:c>
      <x:c r="D74" s="13" t="str">
        <x:v>R02</x:v>
      </x:c>
      <x:c r="E74" s="13" t="str">
        <x:v>Funder intelligence &amp; timing</x:v>
      </x:c>
      <x:c r="F74" s="13" t="str">
        <x:v>D04</x:v>
      </x:c>
      <x:c r="G74" s="13" t="str">
        <x:v>Funder timing and access gates</x:v>
      </x:c>
      <x:c r="H74" s="13" t="str">
        <x:v>B2 - Funding Intelligence &amp; System Discipline</x:v>
      </x:c>
      <x:c r="I74" s="13" t="str"/>
      <x:c r="J74" s="13" t="str">
        <x:v>We track funder deadlines and cycles in a live system</x:v>
      </x:c>
      <x:c r="K74" s="13" t="str">
        <x:v>Comparable grantee and portfolio research</x:v>
      </x:c>
      <x:c r="L74" s="13" t="str">
        <x:v>Assess whether deadlines, cycles, reminders, and responsibilities are actively managed.</x:v>
      </x:c>
      <x:c r="M74" s="13" t="str">
        <x:v>1 — Deadlines/cycles are not tracked in a live system</x:v>
      </x:c>
      <x:c r="N74" s="13" t="str">
        <x:v>2 — Tracking depends on inboxes, memory, or one person</x:v>
      </x:c>
      <x:c r="O74" s="13" t="str">
        <x:v>3 — A basic tracker exists but is incomplete or irregular</x:v>
      </x:c>
      <x:c r="P74" s="13" t="str">
        <x:v>4 — The tracker is mostly current and useful</x:v>
      </x:c>
      <x:c r="Q74" s="13" t="str">
        <x:v>5 — Deadlines/cycles are live, assigned, reviewed, and acted on</x:v>
      </x:c>
      <x:c r="R74" s="13" t="str">
        <x:v>N/A — Not applicable / unsafe to answer</x:v>
      </x:c>
      <x:c r="S74" s="13" t="str">
        <x:v>Single choice score (1–5 + N/A)</x:v>
      </x:c>
      <x:c r="T74" s="13" t="str">
        <x:v>Funder intelligence &amp; timing; B2 Funding Intelligence &amp; System Discipline; Opportunity; Proposal Planning</x:v>
      </x:c>
      <x:c r="U74" s="13" t="str">
        <x:v>Original tested item G8.4 — statement and choices preserved</x:v>
      </x:c>
    </x:row>
    <x:row r="75">
      <x:c r="A75" s="13" t="str">
        <x:v>R02.05</x:v>
      </x:c>
      <x:c r="B75" s="13" t="str">
        <x:v>74</x:v>
      </x:c>
      <x:c r="C75" s="13" t="str">
        <x:v>G74</x:v>
      </x:c>
      <x:c r="D75" s="13" t="str">
        <x:v>R02</x:v>
      </x:c>
      <x:c r="E75" s="13" t="str">
        <x:v>Funder intelligence &amp; timing</x:v>
      </x:c>
      <x:c r="F75" s="13" t="str">
        <x:v>D04</x:v>
      </x:c>
      <x:c r="G75" s="13" t="str">
        <x:v>Funder timing and access gates</x:v>
      </x:c>
      <x:c r="H75" s="13" t="str">
        <x:v>B2 - Funding Intelligence &amp; System Discipline</x:v>
      </x:c>
      <x:c r="I75" s="13" t="str"/>
      <x:c r="J75" s="13" t="str">
        <x:v>We can respond to fast-turnaround opportunities within 2 weeks</x:v>
      </x:c>
      <x:c r="K75" s="13" t="str">
        <x:v>Hidden eligibility checks</x:v>
      </x:c>
      <x:c r="L75" s="13" t="str">
        <x:v>Check whether core materials, budgets, decisions, and review capacity allow a quick response.</x:v>
      </x:c>
      <x:c r="M75" s="13" t="str">
        <x:v>1 — We cannot respond within 2 weeks without major disruption</x:v>
      </x:c>
      <x:c r="N75" s="13" t="str">
        <x:v>2 — A quick response would require crisis effort</x:v>
      </x:c>
      <x:c r="O75" s="13" t="str">
        <x:v>3 — We can respond sometimes but quality may suffer</x:v>
      </x:c>
      <x:c r="P75" s="13" t="str">
        <x:v>4 — We can usually respond within 2 weeks with minor strain</x:v>
      </x:c>
      <x:c r="Q75" s="13" t="str">
        <x:v>5 — We can respond quickly with prepared materials and clear roles</x:v>
      </x:c>
      <x:c r="R75" s="13" t="str">
        <x:v>N/A — Not applicable / unsafe to answer</x:v>
      </x:c>
      <x:c r="S75" s="13" t="str">
        <x:v>Single choice score (1–5 + N/A)</x:v>
      </x:c>
      <x:c r="T75" s="13" t="str">
        <x:v>Funder intelligence &amp; timing; B2 Funding Intelligence &amp; System Discipline; Opportunity; Proposal Planning</x:v>
      </x:c>
      <x:c r="U75" s="13" t="str">
        <x:v>Original tested item G8.5 — statement and choices preserved</x:v>
      </x:c>
    </x:row>
    <x:row r="76">
      <x:c r="A76" s="13" t="str">
        <x:v>R02.06</x:v>
      </x:c>
      <x:c r="B76" s="13" t="str">
        <x:v>75</x:v>
      </x:c>
      <x:c r="C76" s="13" t="str">
        <x:v>G75</x:v>
      </x:c>
      <x:c r="D76" s="13" t="str">
        <x:v>R02</x:v>
      </x:c>
      <x:c r="E76" s="13" t="str">
        <x:v>Funder intelligence &amp; timing</x:v>
      </x:c>
      <x:c r="F76" s="13" t="str">
        <x:v>D03</x:v>
      </x:c>
      <x:c r="G76" s="13" t="str">
        <x:v>Funder market intelligence</x:v>
      </x:c>
      <x:c r="H76" s="13" t="str">
        <x:v>B2 - Funding Intelligence &amp; System Discipline</x:v>
      </x:c>
      <x:c r="I76" s="13" t="str"/>
      <x:c r="J76" s="13" t="str">
        <x:v>We know when funders have unspent budget, urgent gaps, or rapid-response opportunities</x:v>
      </x:c>
      <x:c r="K76" s="13" t="str">
        <x:v>Decision-maker and gatekeeper mapping</x:v>
      </x:c>
      <x:c r="L76" s="13" t="str">
        <x:v>Assess whether you detect off-cycle opportunities and urgent funding windows.</x:v>
      </x:c>
      <x:c r="M76" s="13" t="str">
        <x:v>1 — We have no way to detect urgent or unspent-budget opportunities</x:v>
      </x:c>
      <x:c r="N76" s="13" t="str">
        <x:v>2 — We hear about these opportunities late or by chance</x:v>
      </x:c>
      <x:c r="O76" s="13" t="str">
        <x:v>3 — We sometimes detect openings but lack a reliable method</x:v>
      </x:c>
      <x:c r="P76" s="13" t="str">
        <x:v>4 — We often detect openings through networks or tracking</x:v>
      </x:c>
      <x:c r="Q76" s="13" t="str">
        <x:v>5 — We actively spot, verify, and act on urgent/off-cycle openings</x:v>
      </x:c>
      <x:c r="R76" s="13" t="str">
        <x:v>N/A — Not applicable / unsafe to answer</x:v>
      </x:c>
      <x:c r="S76" s="13" t="str">
        <x:v>Single choice score (1–5 + N/A)</x:v>
      </x:c>
      <x:c r="T76" s="13" t="str">
        <x:v>Funder intelligence &amp; timing; B2 Funding Intelligence &amp; System Discipline; Opportunity; Proposal Planning</x:v>
      </x:c>
      <x:c r="U76" s="13" t="str">
        <x:v>Original tested item G8.6 — statement and choices preserved</x:v>
      </x:c>
    </x:row>
    <x:row r="77">
      <x:c r="A77" s="13" t="str">
        <x:v>R02.07</x:v>
      </x:c>
      <x:c r="B77" s="13" t="str">
        <x:v>76</x:v>
      </x:c>
      <x:c r="C77" s="13" t="str">
        <x:v>G76</x:v>
      </x:c>
      <x:c r="D77" s="13" t="str">
        <x:v>R02</x:v>
      </x:c>
      <x:c r="E77" s="13" t="str">
        <x:v>Funder intelligence &amp; timing</x:v>
      </x:c>
      <x:c r="F77" s="13" t="str">
        <x:v>D04</x:v>
      </x:c>
      <x:c r="G77" s="13" t="str">
        <x:v>Funder timing and access gates</x:v>
      </x:c>
      <x:c r="H77" s="13" t="str">
        <x:v>B2 - Funding Intelligence &amp; System Discipline</x:v>
      </x:c>
      <x:c r="I77" s="13" t="str"/>
      <x:c r="J77" s="13" t="str">
        <x:v>We know the access route for each priority funder, such as open call, invitation, fiscal host, intermediary, consortium, emergency route, or warm introduction</x:v>
      </x:c>
      <x:c r="K77" s="13" t="str">
        <x:v>Funder language and pattern reading</x:v>
      </x:c>
      <x:c r="L77" s="13" t="str">
        <x:v>Clarifies whether you know how each funder actually receives and advances requests, not just who they are.</x:v>
      </x:c>
      <x:c r="M77" s="13" t="str">
        <x:v>1 — We know funder names but not the route into them</x:v>
      </x:c>
      <x:c r="N77" s="13" t="str">
        <x:v>2 — Routes are guessed or depend on one person's memory</x:v>
      </x:c>
      <x:c r="O77" s="13" t="str">
        <x:v>3 — Some priority funders have known routes, but gaps remain</x:v>
      </x:c>
      <x:c r="P77" s="13" t="str">
        <x:v>4 — Most priority funders are mapped by route and next step</x:v>
      </x:c>
      <x:c r="Q77" s="13" t="str">
        <x:v>5 — Each priority funder has a verified route, contact path, timing, and next step</x:v>
      </x:c>
      <x:c r="R77" s="13" t="str">
        <x:v>N/A — Not applicable / unsafe to answer</x:v>
      </x:c>
      <x:c r="S77" s="13" t="str">
        <x:v>Single choice score (1–5 + N/A)</x:v>
      </x:c>
      <x:c r="T77" s="13" t="str">
        <x:v>Funder intelligence &amp; timing; B2 Funding Intelligence &amp; System Discipline; Opportunity; Proposal Planning</x:v>
      </x:c>
      <x:c r="U77" s="13" t="str">
        <x:v>Original tested item G8.7 — statement and choices preserved</x:v>
      </x:c>
    </x:row>
    <x:row r="78">
      <x:c r="A78" s="13" t="str">
        <x:v>R03.01</x:v>
      </x:c>
      <x:c r="B78" s="13" t="str">
        <x:v>77</x:v>
      </x:c>
      <x:c r="C78" s="13" t="str">
        <x:v>G77</x:v>
      </x:c>
      <x:c r="D78" s="13" t="str">
        <x:v>R03</x:v>
      </x:c>
      <x:c r="E78" s="13" t="str">
        <x:v>Fundraising systems &amp; go/no-go</x:v>
      </x:c>
      <x:c r="F78" s="13" t="str">
        <x:v>D06</x:v>
      </x:c>
      <x:c r="G78" s="13" t="str">
        <x:v>Go/no-go discipline and repair loop</x:v>
      </x:c>
      <x:c r="H78" s="13" t="str">
        <x:v>B2 - Funding Intelligence &amp; System Discipline</x:v>
      </x:c>
      <x:c r="I78" s="13" t="str"/>
      <x:c r="J78" s="13" t="str">
        <x:v>We keep organisational memory of what worked and failed, when, where, and why</x:v>
      </x:c>
      <x:c r="K78" s="13" t="str">
        <x:v>Live CRM or funder tracker</x:v>
      </x:c>
      <x:c r="L78" s="13" t="str">
        <x:v>Check whether learning is captured so the organisation improves instead of repeating the same funding and delivery patterns.</x:v>
      </x:c>
      <x:c r="M78" s="13" t="str">
        <x:v>1 — Learning is not captured and patterns repeat</x:v>
      </x:c>
      <x:c r="N78" s="13" t="str">
        <x:v>2 — Learning stays in people's heads or scattered notes</x:v>
      </x:c>
      <x:c r="O78" s="13" t="str">
        <x:v>3 — Some learning is recorded but hard to retrieve or use</x:v>
      </x:c>
      <x:c r="P78" s="13" t="str">
        <x:v>4 — Learning is mostly captured and used in planning</x:v>
      </x:c>
      <x:c r="Q78" s="13" t="str">
        <x:v>5 — Organisational memory is clear, accessible, and actively used</x:v>
      </x:c>
      <x:c r="R78" s="13" t="str">
        <x:v>N/A — Not applicable / unsafe to answer</x:v>
      </x:c>
      <x:c r="S78" s="13" t="str">
        <x:v>Single choice score (1–5 + N/A)</x:v>
      </x:c>
      <x:c r="T78" s="13" t="str">
        <x:v>Fundraising systems &amp; go/no-go; B2 Funding Intelligence &amp; System Discipline; Opportunity; Application Submitted</x:v>
      </x:c>
      <x:c r="U78" s="13" t="str">
        <x:v>Original tested item G9.1 — statement and choices preserved</x:v>
      </x:c>
    </x:row>
    <x:row r="79">
      <x:c r="A79" s="13" t="str">
        <x:v>R03.02</x:v>
      </x:c>
      <x:c r="B79" s="13" t="str">
        <x:v>78</x:v>
      </x:c>
      <x:c r="C79" s="13" t="str">
        <x:v>G78</x:v>
      </x:c>
      <x:c r="D79" s="13" t="str">
        <x:v>R03</x:v>
      </x:c>
      <x:c r="E79" s="13" t="str">
        <x:v>Fundraising systems &amp; go/no-go</x:v>
      </x:c>
      <x:c r="F79" s="13" t="str">
        <x:v>D06</x:v>
      </x:c>
      <x:c r="G79" s="13" t="str">
        <x:v>Go/no-go discipline and repair loop</x:v>
      </x:c>
      <x:c r="H79" s="13" t="str">
        <x:v>B2 - Funding Intelligence &amp; System Discipline</x:v>
      </x:c>
      <x:c r="I79" s="13" t="str"/>
      <x:c r="J79" s="13" t="str">
        <x:v>After completing grant cycles, we analyse what worked, what did not, and adjust our tactics and actions</x:v>
      </x:c>
      <x:c r="K79" s="13" t="str">
        <x:v>Go / no-go criteria and decision discipline</x:v>
      </x:c>
      <x:c r="L79" s="13" t="str">
        <x:v>Assess whether grant closeout creates practical learning for the next funding cycle.</x:v>
      </x:c>
      <x:c r="M79" s="13" t="str">
        <x:v>1 — Grant cycles end without review or adjustment</x:v>
      </x:c>
      <x:c r="N79" s="13" t="str">
        <x:v>2 — Reviews are informal and rarely change tactics</x:v>
      </x:c>
      <x:c r="O79" s="13" t="str">
        <x:v>3 — Some review happens but actions are inconsistent</x:v>
      </x:c>
      <x:c r="P79" s="13" t="str">
        <x:v>4 — Most grant cycles produce useful adjustments</x:v>
      </x:c>
      <x:c r="Q79" s="13" t="str">
        <x:v>5 — Every grant cycle feeds clear tactical and strategic improvement</x:v>
      </x:c>
      <x:c r="R79" s="13" t="str">
        <x:v>N/A — Not applicable / unsafe to answer</x:v>
      </x:c>
      <x:c r="S79" s="13" t="str">
        <x:v>Single choice score (1–5 + N/A)</x:v>
      </x:c>
      <x:c r="T79" s="13" t="str">
        <x:v>Fundraising systems &amp; go/no-go; B2 Funding Intelligence &amp; System Discipline; Opportunity; Application Submitted</x:v>
      </x:c>
      <x:c r="U79" s="13" t="str">
        <x:v>Original tested item G9.2 — statement and choices preserved</x:v>
      </x:c>
    </x:row>
    <x:row r="80">
      <x:c r="A80" s="13" t="str">
        <x:v>R03.03</x:v>
      </x:c>
      <x:c r="B80" s="13" t="str">
        <x:v>79</x:v>
      </x:c>
      <x:c r="C80" s="13" t="str">
        <x:v>G79</x:v>
      </x:c>
      <x:c r="D80" s="13" t="str">
        <x:v>R03</x:v>
      </x:c>
      <x:c r="E80" s="13" t="str">
        <x:v>Fundraising systems &amp; go/no-go</x:v>
      </x:c>
      <x:c r="F80" s="13" t="str">
        <x:v>D06</x:v>
      </x:c>
      <x:c r="G80" s="13" t="str">
        <x:v>Go/no-go discipline and repair loop</x:v>
      </x:c>
      <x:c r="H80" s="13" t="str">
        <x:v>B2 - Funding Intelligence &amp; System Discipline</x:v>
      </x:c>
      <x:c r="I80" s="13" t="str"/>
      <x:c r="J80" s="13" t="str">
        <x:v>In the last 12 months, after rejection, we analysed why and adjusted our tactics and actions</x:v>
      </x:c>
      <x:c r="K80" s="13" t="str">
        <x:v>Application volume versus success review</x:v>
      </x:c>
      <x:c r="L80" s="13" t="str">
        <x:v>Check whether rejection becomes intelligence rather than shame, silence, or repeated applications to the wrong places.</x:v>
      </x:c>
      <x:c r="M80" s="13" t="str">
        <x:v>1 — Rejections were not analysed or learned from</x:v>
      </x:c>
      <x:c r="N80" s="13" t="str">
        <x:v>2 — Reasons were guessed but not investigated</x:v>
      </x:c>
      <x:c r="O80" s="13" t="str">
        <x:v>3 — Some rejection learning happened but actions were limited</x:v>
      </x:c>
      <x:c r="P80" s="13" t="str">
        <x:v>4 — Most rejections were reviewed and used to adjust tactics</x:v>
      </x:c>
      <x:c r="Q80" s="13" t="str">
        <x:v>5 — Rejection patterns are actively analysed and improve targeting, narrative, and routes</x:v>
      </x:c>
      <x:c r="R80" s="13" t="str">
        <x:v>N/A — Not applicable / unsafe to answer</x:v>
      </x:c>
      <x:c r="S80" s="13" t="str">
        <x:v>Single choice score (1–5 + N/A)</x:v>
      </x:c>
      <x:c r="T80" s="13" t="str">
        <x:v>Fundraising systems &amp; go/no-go; B2 Funding Intelligence &amp; System Discipline; Opportunity; Application Submitted</x:v>
      </x:c>
      <x:c r="U80" s="13" t="str">
        <x:v>Original tested item G9.3 — statement and choices preserved</x:v>
      </x:c>
    </x:row>
    <x:row r="81">
      <x:c r="A81" s="13" t="str">
        <x:v>R12.02</x:v>
      </x:c>
      <x:c r="B81" s="13" t="str">
        <x:v>80</x:v>
      </x:c>
      <x:c r="C81" s="13" t="str">
        <x:v>G80</x:v>
      </x:c>
      <x:c r="D81" s="13" t="str">
        <x:v>R12</x:v>
      </x:c>
      <x:c r="E81" s="13" t="str">
        <x:v>Grant management &amp; sustainability</x:v>
      </x:c>
      <x:c r="F81" s="13" t="str">
        <x:v>D23</x:v>
      </x:c>
      <x:c r="G81" s="13" t="str">
        <x:v>Grant management and renewal</x:v>
      </x:c>
      <x:c r="H81" s="13" t="str">
        <x:v>B6 - Post-Award, Renewal &amp; Adaptability</x:v>
      </x:c>
      <x:c r="I81" s="13" t="str"/>
      <x:c r="J81" s="13" t="str">
        <x:v>We can pivot based on feedback; our operations are flexible and adaptive without becoming chaotic</x:v>
      </x:c>
      <x:c r="K81" s="13" t="str">
        <x:v>Renewal and bridge-funding route</x:v>
      </x:c>
      <x:c r="L81" s="13" t="str">
        <x:v>Assess whether the organisation can change course while keeping accountability, care, and delivery quality.</x:v>
      </x:c>
      <x:c r="M81" s="13" t="str">
        <x:v>1 — Feedback rarely changes plans or practice</x:v>
      </x:c>
      <x:c r="N81" s="13" t="str">
        <x:v>2 — Pivots happen only under pressure and create confusion</x:v>
      </x:c>
      <x:c r="O81" s="13" t="str">
        <x:v>3 — We can pivot sometimes but systems/care need strengthening</x:v>
      </x:c>
      <x:c r="P81" s="13" t="str">
        <x:v>4 — We usually adapt based on feedback with manageable disruption</x:v>
      </x:c>
      <x:c r="Q81" s="13" t="str">
        <x:v>5 — We adapt quickly, responsibly, and without losing coherence</x:v>
      </x:c>
      <x:c r="R81" s="13" t="str">
        <x:v>N/A — Not applicable / unsafe to answer</x:v>
      </x:c>
      <x:c r="S81" s="13" t="str">
        <x:v>Single choice score (1–5 + N/A)</x:v>
      </x:c>
      <x:c r="T81" s="13" t="str">
        <x:v>Grant management &amp; sustainability; B6 Post-Award, Renewal &amp; Adaptability; Award / Renewal</x:v>
      </x:c>
      <x:c r="U81" s="13" t="str">
        <x:v>Original tested item G9.4 — statement and choices preserved</x:v>
      </x:c>
    </x:row>
    <x:row r="82">
      <x:c r="A82" s="13" t="str">
        <x:v>R12.03</x:v>
      </x:c>
      <x:c r="B82" s="13" t="str">
        <x:v>81</x:v>
      </x:c>
      <x:c r="C82" s="13" t="str">
        <x:v>G81</x:v>
      </x:c>
      <x:c r="D82" s="13" t="str">
        <x:v>R12</x:v>
      </x:c>
      <x:c r="E82" s="13" t="str">
        <x:v>Grant management &amp; sustainability</x:v>
      </x:c>
      <x:c r="F82" s="13" t="str">
        <x:v>D23</x:v>
      </x:c>
      <x:c r="G82" s="13" t="str">
        <x:v>Grant management and renewal</x:v>
      </x:c>
      <x:c r="H82" s="13" t="str">
        <x:v>B6 - Post-Award, Renewal &amp; Adaptability</x:v>
      </x:c>
      <x:c r="I82" s="13" t="str"/>
      <x:c r="J82" s="13" t="str">
        <x:v>We learn from community feedback, and our team has grown or improved based on past challenges</x:v>
      </x:c>
      <x:c r="K82" s="13" t="str">
        <x:v>Grant management adaptability</x:v>
      </x:c>
      <x:c r="L82" s="13" t="str">
        <x:v>Check whether community feedback and challenge actually change behaviour, systems, relationships, or quality.</x:v>
      </x:c>
      <x:c r="M82" s="13" t="str">
        <x:v>1 — Community feedback does not meaningfully change our practice</x:v>
      </x:c>
      <x:c r="N82" s="13" t="str">
        <x:v>2 — Feedback is heard but rarely translated into improvements</x:v>
      </x:c>
      <x:c r="O82" s="13" t="str">
        <x:v>3 — Some improvements come from feedback and challenges</x:v>
      </x:c>
      <x:c r="P82" s="13" t="str">
        <x:v>4 — Feedback regularly improves team practice and decisions</x:v>
      </x:c>
      <x:c r="Q82" s="13" t="str">
        <x:v>5 — Community feedback is actively used to strengthen trust, quality, and accountability</x:v>
      </x:c>
      <x:c r="R82" s="13" t="str">
        <x:v>N/A — Not applicable / unsafe to answer</x:v>
      </x:c>
      <x:c r="S82" s="13" t="str">
        <x:v>Single choice score (1–5 + N/A)</x:v>
      </x:c>
      <x:c r="T82" s="13" t="str">
        <x:v>Grant management &amp; sustainability; B6 Post-Award, Renewal &amp; Adaptability; Award / Renewal</x:v>
      </x:c>
      <x:c r="U82" s="13" t="str">
        <x:v>Original tested item G9.5 — statement and choices preserved</x:v>
      </x:c>
    </x:row>
    <x:row r="83">
      <x:c r="A83" s="13" t="str">
        <x:v>R03.04</x:v>
      </x:c>
      <x:c r="B83" s="13" t="str">
        <x:v>82</x:v>
      </x:c>
      <x:c r="C83" s="13" t="str">
        <x:v>G82</x:v>
      </x:c>
      <x:c r="D83" s="13" t="str">
        <x:v>R03</x:v>
      </x:c>
      <x:c r="E83" s="13" t="str">
        <x:v>Fundraising systems &amp; go/no-go</x:v>
      </x:c>
      <x:c r="F83" s="13" t="str">
        <x:v>D06</x:v>
      </x:c>
      <x:c r="G83" s="13" t="str">
        <x:v>Go/no-go discipline and repair loop</x:v>
      </x:c>
      <x:c r="H83" s="13" t="str">
        <x:v>B2 - Funding Intelligence &amp; System Discipline</x:v>
      </x:c>
      <x:c r="I83" s="13" t="str"/>
      <x:c r="J83" s="13" t="str">
        <x:v>We can distinguish fixable internal gaps from contextual and structural blockages we do not directly control</x:v>
      </x:c>
      <x:c r="K83" s="13" t="str">
        <x:v>Proposal calendar and sequencing</x:v>
      </x:c>
      <x:c r="L83" s="13" t="str">
        <x:v>Assess whether the team can separate what to repair internally from what requires route changes, advocacy, partnership, or funder negotiation.</x:v>
      </x:c>
      <x:c r="M83" s="13" t="str">
        <x:v>1 — We often blame ourselves or others without distinguishing causes</x:v>
      </x:c>
      <x:c r="N83" s="13" t="str">
        <x:v>2 — Blockages are noticed but not clearly sorted</x:v>
      </x:c>
      <x:c r="O83" s="13" t="str">
        <x:v>3 — Some internal vs structural distinction is made</x:v>
      </x:c>
      <x:c r="P83" s="13" t="str">
        <x:v>4 — We usually separate fixable gaps from external constraints</x:v>
      </x:c>
      <x:c r="Q83" s="13" t="str">
        <x:v>5 — We clearly diagnose internal fixes, external constraints, and route strategies</x:v>
      </x:c>
      <x:c r="R83" s="13" t="str">
        <x:v>N/A — Not applicable / unsafe to answer</x:v>
      </x:c>
      <x:c r="S83" s="13" t="str">
        <x:v>Single choice score (1–5 + N/A)</x:v>
      </x:c>
      <x:c r="T83" s="13" t="str">
        <x:v>Fundraising systems &amp; go/no-go; B2 Funding Intelligence &amp; System Discipline; Opportunity; Application Submitted</x:v>
      </x:c>
      <x:c r="U83" s="13" t="str">
        <x:v>Original tested item G9.6 — statement and choices preserved</x:v>
      </x:c>
    </x:row>
    <x:row r="84">
      <x:c r="A84" s="13" t="str">
        <x:v>R01.12</x:v>
      </x:c>
      <x:c r="B84" s="13" t="str">
        <x:v>83</x:v>
      </x:c>
      <x:c r="C84" s="13" t="str">
        <x:v>G83</x:v>
      </x:c>
      <x:c r="D84" s="13" t="str">
        <x:v>R01</x:v>
      </x:c>
      <x:c r="E84" s="13" t="str">
        <x:v>Context, legal route &amp; compliance</x:v>
      </x:c>
      <x:c r="F84" s="13" t="str">
        <x:v>D01</x:v>
      </x:c>
      <x:c r="G84" s="13" t="str">
        <x:v>Operating context and safety</x:v>
      </x:c>
      <x:c r="H84" s="13" t="str">
        <x:v>B1 - Context, Eligibility &amp; Compliance</x:v>
      </x:c>
      <x:c r="I84" s="13" t="str"/>
      <x:c r="J84" s="13" t="str">
        <x:v>We have a written view of the main legal, civic-space, banking, safety, or visibility risks that could affect a funder’s decision.</x:v>
      </x:c>
      <x:c r="K84" s="13" t="str">
        <x:v>Safe public positioning and visibility posture</x:v>
      </x:c>
      <x:c r="L84" s="13" t="str">
        <x:v>Checks whether context risk is documented clearly enough to guide route choice, evidence sharing and funder selection.</x:v>
      </x:c>
      <x:c r="M84" s="13" t="str">
        <x:v>1 — No current risk view exists or risks are discussed only informally</x:v>
      </x:c>
      <x:c r="N84" s="13" t="str">
        <x:v>2 — Risks are known by a few people but not written or updated</x:v>
      </x:c>
      <x:c r="O84" s="13" t="str">
        <x:v>3 — A risk view exists, but it does not yet guide funder choices consistently</x:v>
      </x:c>
      <x:c r="P84" s="13" t="str">
        <x:v>4 — Risks are documented and mostly guide route, evidence and visibility decisions</x:v>
      </x:c>
      <x:c r="Q84" s="13" t="str">
        <x:v>5 — Risk analysis is current, shared with the right people, and actively used before applying</x:v>
      </x:c>
      <x:c r="R84" s="13" t="str">
        <x:v>N/A — Not applicable / unsafe to answer</x:v>
      </x:c>
      <x:c r="S84" s="13" t="str">
        <x:v>Single choice score (1–5 + N/A)</x:v>
      </x:c>
      <x:c r="T84" s="13" t="str">
        <x:v>Context, legal route &amp; compliance; B1 Context, Eligibility &amp; Compliance; Opportunity; Eligibility; Due Diligence</x:v>
      </x:c>
      <x:c r="U84" s="13" t="str">
        <x:v>Framework gap-fill — missing dimension item added</x:v>
      </x:c>
    </x:row>
    <x:row r="85">
      <x:c r="A85" s="13" t="str">
        <x:v>R01.13</x:v>
      </x:c>
      <x:c r="B85" s="13" t="str">
        <x:v>84</x:v>
      </x:c>
      <x:c r="C85" s="13" t="str">
        <x:v>G84</x:v>
      </x:c>
      <x:c r="D85" s="13" t="str">
        <x:v>R01</x:v>
      </x:c>
      <x:c r="E85" s="13" t="str">
        <x:v>Context, legal route &amp; compliance</x:v>
      </x:c>
      <x:c r="F85" s="13" t="str">
        <x:v>D02</x:v>
      </x:c>
      <x:c r="G85" s="13" t="str">
        <x:v>Legal and receiving route</x:v>
      </x:c>
      <x:c r="H85" s="13" t="str">
        <x:v>B1 - Context, Eligibility &amp; Compliance</x:v>
      </x:c>
      <x:c r="I85" s="13" t="str"/>
      <x:c r="J85" s="13" t="str">
        <x:v>We know which registration, fiscal-host, intermediary, or partner route is safest for different types of grants.</x:v>
      </x:c>
      <x:c r="K85" s="13" t="str">
        <x:v>Board authorisation and sign-off evidence</x:v>
      </x:c>
      <x:c r="L85" s="13" t="str">
        <x:v>Checks whether the receiving route is matched to funder type, legal status, banking practicality and safety.</x:v>
      </x:c>
      <x:c r="M85" s="13" t="str">
        <x:v>1 — No safe receiving route is clear for most grants</x:v>
      </x:c>
      <x:c r="N85" s="13" t="str">
        <x:v>2 — A route is assumed, but it has not been checked against funder requirements</x:v>
      </x:c>
      <x:c r="O85" s="13" t="str">
        <x:v>3 — Some routes are usable, but route choice still depends on last-minute negotiation</x:v>
      </x:c>
      <x:c r="P85" s="13" t="str">
        <x:v>4 — The safest receiving route is mostly clear for priority funders</x:v>
      </x:c>
      <x:c r="Q85" s="13" t="str">
        <x:v>5 — Direct, fiscal-host, intermediary or partner routes are verified and selected before proposal work begins</x:v>
      </x:c>
      <x:c r="R85" s="13" t="str">
        <x:v>N/A — Not applicable / unsafe to answer</x:v>
      </x:c>
      <x:c r="S85" s="13" t="str">
        <x:v>Single choice score (1–5 + N/A)</x:v>
      </x:c>
      <x:c r="T85" s="13" t="str">
        <x:v>Context, legal route &amp; compliance; B1 Context, Eligibility &amp; Compliance; Opportunity; Eligibility; Due Diligence</x:v>
      </x:c>
      <x:c r="U85" s="13" t="str">
        <x:v>Framework gap-fill — missing dimension item added</x:v>
      </x:c>
    </x:row>
    <x:row r="86">
      <x:c r="A86" s="13" t="str">
        <x:v>R01.14</x:v>
      </x:c>
      <x:c r="B86" s="13" t="str">
        <x:v>85</x:v>
      </x:c>
      <x:c r="C86" s="13" t="str">
        <x:v>G85</x:v>
      </x:c>
      <x:c r="D86" s="13" t="str">
        <x:v>R01</x:v>
      </x:c>
      <x:c r="E86" s="13" t="str">
        <x:v>Context, legal route &amp; compliance</x:v>
      </x:c>
      <x:c r="F86" s="13" t="str">
        <x:v>D02</x:v>
      </x:c>
      <x:c r="G86" s="13" t="str">
        <x:v>Legal and receiving route</x:v>
      </x:c>
      <x:c r="H86" s="13" t="str">
        <x:v>B1 - Context, Eligibility &amp; Compliance</x:v>
      </x:c>
      <x:c r="I86" s="13" t="str"/>
      <x:c r="J86" s="13" t="str">
        <x:v>We know what identity, registration, tax, bank, and compliance documents each priority route will require.</x:v>
      </x:c>
      <x:c r="K86" s="13" t="str">
        <x:v>Legal signatory and contracting clarity</x:v>
      </x:c>
      <x:c r="L86" s="13" t="str">
        <x:v>Checks whether due-diligence requirements are known before the organisation chooses a route or applies.</x:v>
      </x:c>
      <x:c r="M86" s="13" t="str">
        <x:v>1 — Document requirements are mostly unknown until a funder asks</x:v>
      </x:c>
      <x:c r="N86" s="13" t="str">
        <x:v>2 — Requirements are guessed from past applications or general templates</x:v>
      </x:c>
      <x:c r="O86" s="13" t="str">
        <x:v>3 — Basic requirements are known, but route-specific gaps remain</x:v>
      </x:c>
      <x:c r="P86" s="13" t="str">
        <x:v>4 — Requirements are mostly mapped for priority routes with minor gaps</x:v>
      </x:c>
      <x:c r="Q86" s="13" t="str">
        <x:v>5 — Route-specific requirements are verified before applications are started</x:v>
      </x:c>
      <x:c r="R86" s="13" t="str">
        <x:v>N/A — Not applicable / unsafe to answer</x:v>
      </x:c>
      <x:c r="S86" s="13" t="str">
        <x:v>Single choice score (1–5 + N/A)</x:v>
      </x:c>
      <x:c r="T86" s="13" t="str">
        <x:v>Context, legal route &amp; compliance; B1 Context, Eligibility &amp; Compliance; Opportunity; Eligibility; Due Diligence</x:v>
      </x:c>
      <x:c r="U86" s="13" t="str">
        <x:v>Framework gap-fill — missing dimension item added</x:v>
      </x:c>
    </x:row>
    <x:row r="87">
      <x:c r="A87" s="13" t="str">
        <x:v>R01.15</x:v>
      </x:c>
      <x:c r="B87" s="13" t="str">
        <x:v>86</x:v>
      </x:c>
      <x:c r="C87" s="13" t="str">
        <x:v>G86</x:v>
      </x:c>
      <x:c r="D87" s="13" t="str">
        <x:v>R01</x:v>
      </x:c>
      <x:c r="E87" s="13" t="str">
        <x:v>Context, legal route &amp; compliance</x:v>
      </x:c>
      <x:c r="F87" s="13" t="str">
        <x:v>D01</x:v>
      </x:c>
      <x:c r="G87" s="13" t="str">
        <x:v>Operating context and safety</x:v>
      </x:c>
      <x:c r="H87" s="13" t="str">
        <x:v>B1 - Context, Eligibility &amp; Compliance</x:v>
      </x:c>
      <x:c r="I87" s="13" t="str"/>
      <x:c r="J87" s="13" t="str">
        <x:v>We know when direct public visibility would help funding and when it would create risk.</x:v>
      </x:c>
      <x:c r="K87" s="13" t="str">
        <x:v>Partner or coalition agreement readiness</x:v>
      </x:c>
      <x:c r="L87" s="13" t="str">
        <x:v>Checks whether the organisation can choose between public proof, private proof, anonymised proof and trusted-route verification.</x:v>
      </x:c>
      <x:c r="M87" s="13" t="str">
        <x:v>1 — Public visibility choices are not assessed for safety or funder value</x:v>
      </x:c>
      <x:c r="N87" s="13" t="str">
        <x:v>2 — Visibility is handled case by case without a clear position</x:v>
      </x:c>
      <x:c r="O87" s="13" t="str">
        <x:v>3 — Some visibility decisions are safe, but the approach is inconsistent</x:v>
      </x:c>
      <x:c r="P87" s="13" t="str">
        <x:v>4 — Visibility choices are mostly guided by safety and funder confidence</x:v>
      </x:c>
      <x:c r="Q87" s="13" t="str">
        <x:v>5 — Public, private, anonymised and intermediary proof routes are clearly chosen before sharing</x:v>
      </x:c>
      <x:c r="R87" s="13" t="str">
        <x:v>N/A — Not applicable / unsafe to answer</x:v>
      </x:c>
      <x:c r="S87" s="13" t="str">
        <x:v>Single choice score (1–5 + N/A)</x:v>
      </x:c>
      <x:c r="T87" s="13" t="str">
        <x:v>Context, legal route &amp; compliance; B1 Context, Eligibility &amp; Compliance; Opportunity; Eligibility; Due Diligence</x:v>
      </x:c>
      <x:c r="U87" s="13" t="str">
        <x:v>Framework gap-fill — missing dimension item added</x:v>
      </x:c>
    </x:row>
    <x:row r="88">
      <x:c r="A88" s="13" t="str">
        <x:v>R01.16</x:v>
      </x:c>
      <x:c r="B88" s="13" t="str">
        <x:v>87</x:v>
      </x:c>
      <x:c r="C88" s="13" t="str">
        <x:v>G87</x:v>
      </x:c>
      <x:c r="D88" s="13" t="str">
        <x:v>R01</x:v>
      </x:c>
      <x:c r="E88" s="13" t="str">
        <x:v>Context, legal route &amp; compliance</x:v>
      </x:c>
      <x:c r="F88" s="13" t="str">
        <x:v>D01</x:v>
      </x:c>
      <x:c r="G88" s="13" t="str">
        <x:v>Operating context and safety</x:v>
      </x:c>
      <x:c r="H88" s="13" t="str">
        <x:v>B1 - Context, Eligibility &amp; Compliance</x:v>
      </x:c>
      <x:c r="I88" s="13" t="str"/>
      <x:c r="J88" s="13" t="str">
        <x:v>We can explain contextual constraints without making our organisation sound weak, risky, or incapable.</x:v>
      </x:c>
      <x:c r="K88" s="13" t="str">
        <x:v>Data protection and consent compliance</x:v>
      </x:c>
      <x:c r="L88" s="13" t="str">
        <x:v>Checks whether the context narrative is funder-ready and protects the value of the work.</x:v>
      </x:c>
      <x:c r="M88" s="13" t="str">
        <x:v>1 — Context is either hidden, over-explained, or presented in a way that weakens confidence</x:v>
      </x:c>
      <x:c r="N88" s="13" t="str">
        <x:v>2 — Context is explained informally but not yet framed as a route and safety issue</x:v>
      </x:c>
      <x:c r="O88" s="13" t="str">
        <x:v>3 — Context is described, but the funding implication is not always clear</x:v>
      </x:c>
      <x:c r="P88" s="13" t="str">
        <x:v>4 — Context is mostly framed as a routing, evidence and protection issue</x:v>
      </x:c>
      <x:c r="Q88" s="13" t="str">
        <x:v>5 — Context is clearly framed as a funding design issue without diminishing the work</x:v>
      </x:c>
      <x:c r="R88" s="13" t="str">
        <x:v>N/A — Not applicable / unsafe to answer</x:v>
      </x:c>
      <x:c r="S88" s="13" t="str">
        <x:v>Single choice score (1–5 + N/A)</x:v>
      </x:c>
      <x:c r="T88" s="13" t="str">
        <x:v>Context, legal route &amp; compliance; B1 Context, Eligibility &amp; Compliance; Opportunity; Eligibility; Due Diligence</x:v>
      </x:c>
      <x:c r="U88" s="13" t="str">
        <x:v>Framework gap-fill — missing dimension item added</x:v>
      </x:c>
    </x:row>
    <x:row r="89">
      <x:c r="A89" s="13" t="str">
        <x:v>R01.17</x:v>
      </x:c>
      <x:c r="B89" s="13" t="str">
        <x:v>88</x:v>
      </x:c>
      <x:c r="C89" s="13" t="str">
        <x:v>G88</x:v>
      </x:c>
      <x:c r="D89" s="13" t="str">
        <x:v>R01</x:v>
      </x:c>
      <x:c r="E89" s="13" t="str">
        <x:v>Context, legal route &amp; compliance</x:v>
      </x:c>
      <x:c r="F89" s="13" t="str">
        <x:v>D02</x:v>
      </x:c>
      <x:c r="G89" s="13" t="str">
        <x:v>Legal and receiving route</x:v>
      </x:c>
      <x:c r="H89" s="13" t="str">
        <x:v>B1 - Context, Eligibility &amp; Compliance</x:v>
      </x:c>
      <x:c r="I89" s="13" t="str"/>
      <x:c r="J89" s="13" t="str">
        <x:v>Before applying, we check whether the funder can legally and practically send money through the route we would need.</x:v>
      </x:c>
      <x:c r="K89" s="13" t="str">
        <x:v>Receiving-route contingency planning</x:v>
      </x:c>
      <x:c r="L89" s="13" t="str">
        <x:v>Checks whether eligibility includes transfer and route feasibility, not only thematic or geographic fit.</x:v>
      </x:c>
      <x:c r="M89" s="13" t="str">
        <x:v>1 — Transfer feasibility is usually checked only after interest is shown</x:v>
      </x:c>
      <x:c r="N89" s="13" t="str">
        <x:v>2 — We assume transfer will work if the funder likes the work</x:v>
      </x:c>
      <x:c r="O89" s="13" t="str">
        <x:v>3 — Transfer feasibility is checked sometimes, but not consistently before writing</x:v>
      </x:c>
      <x:c r="P89" s="13" t="str">
        <x:v>4 — Transfer feasibility is usually checked before serious proposal effort</x:v>
      </x:c>
      <x:c r="Q89" s="13" t="str">
        <x:v>5 — Legal, banking and transfer feasibility are verified before priority applications are started</x:v>
      </x:c>
      <x:c r="R89" s="13" t="str">
        <x:v>N/A — Not applicable / unsafe to answer</x:v>
      </x:c>
      <x:c r="S89" s="13" t="str">
        <x:v>Single choice score (1–5 + N/A)</x:v>
      </x:c>
      <x:c r="T89" s="13" t="str">
        <x:v>Context, legal route &amp; compliance; B1 Context, Eligibility &amp; Compliance; Opportunity; Eligibility; Due Diligence</x:v>
      </x:c>
      <x:c r="U89" s="13" t="str">
        <x:v>Framework gap-fill — missing dimension item added</x:v>
      </x:c>
    </x:row>
    <x:row r="90">
      <x:c r="A90" s="13" t="str">
        <x:v>R02.08</x:v>
      </x:c>
      <x:c r="B90" s="13" t="str">
        <x:v>89</x:v>
      </x:c>
      <x:c r="C90" s="13" t="str">
        <x:v>G89</x:v>
      </x:c>
      <x:c r="D90" s="13" t="str">
        <x:v>R02</x:v>
      </x:c>
      <x:c r="E90" s="13" t="str">
        <x:v>Funder intelligence &amp; timing</x:v>
      </x:c>
      <x:c r="F90" s="13" t="str">
        <x:v>D03</x:v>
      </x:c>
      <x:c r="G90" s="13" t="str">
        <x:v>Funder market intelligence</x:v>
      </x:c>
      <x:c r="H90" s="13" t="str">
        <x:v>B2 - Funding Intelligence &amp; System Discipline</x:v>
      </x:c>
      <x:c r="I90" s="13" t="str"/>
      <x:c r="J90" s="13" t="str">
        <x:v>We maintain a short priority list of funders that are active now, not only funders that funded similar work in the past.</x:v>
      </x:c>
      <x:c r="K90" s="13" t="str">
        <x:v>Risk appetite and evidence expectation check</x:v>
      </x:c>
      <x:c r="L90" s="13" t="str">
        <x:v>Checks whether the funder map is current enough to guide effort.</x:v>
      </x:c>
      <x:c r="M90" s="13" t="str">
        <x:v>1 — The funder list is old, informal, or mostly based on memory</x:v>
      </x:c>
      <x:c r="N90" s="13" t="str">
        <x:v>2 — The list exists, but current activity is not verified</x:v>
      </x:c>
      <x:c r="O90" s="13" t="str">
        <x:v>3 — Some funders are current, but the priority list still includes weak or stale targets</x:v>
      </x:c>
      <x:c r="P90" s="13" t="str">
        <x:v>4 — Most priority funders are current and checked against recent activity</x:v>
      </x:c>
      <x:c r="Q90" s="13" t="str">
        <x:v>5 — The priority list is current, verified, and focused on funders active now</x:v>
      </x:c>
      <x:c r="R90" s="13" t="str">
        <x:v>N/A — Not applicable / unsafe to answer</x:v>
      </x:c>
      <x:c r="S90" s="13" t="str">
        <x:v>Single choice score (1–5 + N/A)</x:v>
      </x:c>
      <x:c r="T90" s="13" t="str">
        <x:v>Funder intelligence &amp; timing; B2 Funding Intelligence &amp; System Discipline; Opportunity; Proposal Planning</x:v>
      </x:c>
      <x:c r="U90" s="13" t="str">
        <x:v>Framework gap-fill — missing dimension item added</x:v>
      </x:c>
    </x:row>
    <x:row r="91">
      <x:c r="A91" s="13" t="str">
        <x:v>R02.09</x:v>
      </x:c>
      <x:c r="B91" s="13" t="str">
        <x:v>90</x:v>
      </x:c>
      <x:c r="C91" s="13" t="str">
        <x:v>G90</x:v>
      </x:c>
      <x:c r="D91" s="13" t="str">
        <x:v>R02</x:v>
      </x:c>
      <x:c r="E91" s="13" t="str">
        <x:v>Funder intelligence &amp; timing</x:v>
      </x:c>
      <x:c r="F91" s="13" t="str">
        <x:v>D04</x:v>
      </x:c>
      <x:c r="G91" s="13" t="str">
        <x:v>Funder timing and access gates</x:v>
      </x:c>
      <x:c r="H91" s="13" t="str">
        <x:v>B2 - Funding Intelligence &amp; System Discipline</x:v>
      </x:c>
      <x:c r="I91" s="13" t="str"/>
      <x:c r="J91" s="13" t="str">
        <x:v>We know which funders need early contact before a formal application is submitted.</x:v>
      </x:c>
      <x:c r="K91" s="13" t="str">
        <x:v>Pre-application route intelligence</x:v>
      </x:c>
      <x:c r="L91" s="13" t="str">
        <x:v>Checks whether the team understands hidden pre-application gates.</x:v>
      </x:c>
      <x:c r="M91" s="13" t="str">
        <x:v>1 — We usually discover early-contact expectations too late</x:v>
      </x:c>
      <x:c r="N91" s="13" t="str">
        <x:v>2 — Early-contact needs are guessed or handled by chance</x:v>
      </x:c>
      <x:c r="O91" s="13" t="str">
        <x:v>3 — Some funders are checked for early-contact requirements</x:v>
      </x:c>
      <x:c r="P91" s="13" t="str">
        <x:v>4 — Most priority funders are checked for early-contact expectations</x:v>
      </x:c>
      <x:c r="Q91" s="13" t="str">
        <x:v>5 — Early-contact rules are mapped and acted on before writing begins</x:v>
      </x:c>
      <x:c r="R91" s="13" t="str">
        <x:v>N/A — Not applicable / unsafe to answer</x:v>
      </x:c>
      <x:c r="S91" s="13" t="str">
        <x:v>Single choice score (1–5 + N/A)</x:v>
      </x:c>
      <x:c r="T91" s="13" t="str">
        <x:v>Funder intelligence &amp; timing; B2 Funding Intelligence &amp; System Discipline; Opportunity; Proposal Planning</x:v>
      </x:c>
      <x:c r="U91" s="13" t="str">
        <x:v>Framework gap-fill — missing dimension item added</x:v>
      </x:c>
    </x:row>
    <x:row r="92">
      <x:c r="A92" s="13" t="str">
        <x:v>R03.05</x:v>
      </x:c>
      <x:c r="B92" s="13" t="str">
        <x:v>91</x:v>
      </x:c>
      <x:c r="C92" s="13" t="str">
        <x:v>G91</x:v>
      </x:c>
      <x:c r="D92" s="13" t="str">
        <x:v>R03</x:v>
      </x:c>
      <x:c r="E92" s="13" t="str">
        <x:v>Fundraising systems &amp; go/no-go</x:v>
      </x:c>
      <x:c r="F92" s="13" t="str">
        <x:v>D05</x:v>
      </x:c>
      <x:c r="G92" s="13" t="str">
        <x:v>Pipeline tracking and ownership</x:v>
      </x:c>
      <x:c r="H92" s="13" t="str">
        <x:v>B2 - Funding Intelligence &amp; System Discipline</x:v>
      </x:c>
      <x:c r="I92" s="13" t="str"/>
      <x:c r="J92" s="13" t="str">
        <x:v>Every active funding opportunity has one named owner, next action, due date, and current status.</x:v>
      </x:c>
      <x:c r="K92" s="13" t="str">
        <x:v>Opportunity owner and next-action clarity</x:v>
      </x:c>
      <x:c r="L92" s="13" t="str">
        <x:v>Checks whether the pipeline is operational, not only a list of possible funders.</x:v>
      </x:c>
      <x:c r="M92" s="13" t="str">
        <x:v>1 — Opportunities are not tracked with owners, actions and dates</x:v>
      </x:c>
      <x:c r="N92" s="13" t="str">
        <x:v>2 — Tracking exists informally or in scattered notes</x:v>
      </x:c>
      <x:c r="O92" s="13" t="str">
        <x:v>3 — Some opportunities have owners and due dates, but the system is incomplete</x:v>
      </x:c>
      <x:c r="P92" s="13" t="str">
        <x:v>4 — Most opportunities have a clear owner, action, due date and status</x:v>
      </x:c>
      <x:c r="Q92" s="13" t="str">
        <x:v>5 — Every active opportunity is tracked live with owner, action, due date and status</x:v>
      </x:c>
      <x:c r="R92" s="13" t="str">
        <x:v>N/A — Not applicable / unsafe to answer</x:v>
      </x:c>
      <x:c r="S92" s="13" t="str">
        <x:v>Single choice score (1–5 + N/A)</x:v>
      </x:c>
      <x:c r="T92" s="13" t="str">
        <x:v>Fundraising systems &amp; go/no-go; B2 Funding Intelligence &amp; System Discipline; Opportunity; Application Submitted</x:v>
      </x:c>
      <x:c r="U92" s="13" t="str">
        <x:v>Framework gap-fill — missing dimension item added</x:v>
      </x:c>
    </x:row>
    <x:row r="93">
      <x:c r="A93" s="13" t="str">
        <x:v>R03.06</x:v>
      </x:c>
      <x:c r="B93" s="13" t="str">
        <x:v>92</x:v>
      </x:c>
      <x:c r="C93" s="13" t="str">
        <x:v>G92</x:v>
      </x:c>
      <x:c r="D93" s="13" t="str">
        <x:v>R03</x:v>
      </x:c>
      <x:c r="E93" s="13" t="str">
        <x:v>Fundraising systems &amp; go/no-go</x:v>
      </x:c>
      <x:c r="F93" s="13" t="str">
        <x:v>D06</x:v>
      </x:c>
      <x:c r="G93" s="13" t="str">
        <x:v>Go/no-go discipline and repair loop</x:v>
      </x:c>
      <x:c r="H93" s="13" t="str">
        <x:v>B2 - Funding Intelligence &amp; System Discipline</x:v>
      </x:c>
      <x:c r="I93" s="13" t="str"/>
      <x:c r="J93" s="13" t="str">
        <x:v>We use a clear go/no-go check before starting a proposal.</x:v>
      </x:c>
      <x:c r="K93" s="13" t="str">
        <x:v>Rejection feedback and learning review</x:v>
      </x:c>
      <x:c r="L93" s="13" t="str">
        <x:v>Checks whether proposal effort is protected from poor-fit opportunities.</x:v>
      </x:c>
      <x:c r="M93" s="13" t="str">
        <x:v>1 — We usually start writing before a go/no-go check</x:v>
      </x:c>
      <x:c r="N93" s="13" t="str">
        <x:v>2 — Go/no-go decisions are informal and inconsistent</x:v>
      </x:c>
      <x:c r="O93" s="13" t="str">
        <x:v>3 — A check exists, but it is not always used before writing</x:v>
      </x:c>
      <x:c r="P93" s="13" t="str">
        <x:v>4 — A go/no-go check is used for most priority opportunities</x:v>
      </x:c>
      <x:c r="Q93" s="13" t="str">
        <x:v>5 — No proposal starts before fit, route, evidence, documents and capacity are checked</x:v>
      </x:c>
      <x:c r="R93" s="13" t="str">
        <x:v>N/A — Not applicable / unsafe to answer</x:v>
      </x:c>
      <x:c r="S93" s="13" t="str">
        <x:v>Single choice score (1–5 + N/A)</x:v>
      </x:c>
      <x:c r="T93" s="13" t="str">
        <x:v>Fundraising systems &amp; go/no-go; B2 Funding Intelligence &amp; System Discipline; Opportunity; Application Submitted</x:v>
      </x:c>
      <x:c r="U93" s="13" t="str">
        <x:v>Framework gap-fill — missing dimension item added</x:v>
      </x:c>
    </x:row>
    <x:row r="94">
      <x:c r="A94" s="13" t="str">
        <x:v>R03.07</x:v>
      </x:c>
      <x:c r="B94" s="13" t="str">
        <x:v>93</x:v>
      </x:c>
      <x:c r="C94" s="13" t="str">
        <x:v>G93</x:v>
      </x:c>
      <x:c r="D94" s="13" t="str">
        <x:v>R03</x:v>
      </x:c>
      <x:c r="E94" s="13" t="str">
        <x:v>Fundraising systems &amp; go/no-go</x:v>
      </x:c>
      <x:c r="F94" s="13" t="str">
        <x:v>D06</x:v>
      </x:c>
      <x:c r="G94" s="13" t="str">
        <x:v>Go/no-go discipline and repair loop</x:v>
      </x:c>
      <x:c r="H94" s="13" t="str">
        <x:v>B2 - Funding Intelligence &amp; System Discipline</x:v>
      </x:c>
      <x:c r="I94" s="13" t="str"/>
      <x:c r="J94" s="13" t="str">
        <x:v>We stop or delay applications when fit, route, evidence, timing, or capacity is too weak.</x:v>
      </x:c>
      <x:c r="K94" s="13" t="str">
        <x:v>Pipeline record quality and version control</x:v>
      </x:c>
      <x:c r="L94" s="13" t="str">
        <x:v>Checks whether the team can protect time by saying no to weak opportunities.</x:v>
      </x:c>
      <x:c r="M94" s="13" t="str">
        <x:v>1 — We continue with weak applications even when major concerns are visible</x:v>
      </x:c>
      <x:c r="N94" s="13" t="str">
        <x:v>2 — We delay or stop only when the problem becomes urgent</x:v>
      </x:c>
      <x:c r="O94" s="13" t="str">
        <x:v>3 — We sometimes pause weak applications, but the rule is not consistent</x:v>
      </x:c>
      <x:c r="P94" s="13" t="str">
        <x:v>4 — We usually pause, reroute or repair when major concerns appear</x:v>
      </x:c>
      <x:c r="Q94" s="13" t="str">
        <x:v>5 — Stop, repair, verify or use-now rules are consistently applied before writing</x:v>
      </x:c>
      <x:c r="R94" s="13" t="str">
        <x:v>N/A — Not applicable / unsafe to answer</x:v>
      </x:c>
      <x:c r="S94" s="13" t="str">
        <x:v>Single choice score (1–5 + N/A)</x:v>
      </x:c>
      <x:c r="T94" s="13" t="str">
        <x:v>Fundraising systems &amp; go/no-go; B2 Funding Intelligence &amp; System Discipline; Opportunity; Application Submitted</x:v>
      </x:c>
      <x:c r="U94" s="13" t="str">
        <x:v>Framework gap-fill — missing dimension item added</x:v>
      </x:c>
    </x:row>
    <x:row r="95">
      <x:c r="A95" s="13" t="str">
        <x:v>R03.08</x:v>
      </x:c>
      <x:c r="B95" s="13" t="str">
        <x:v>94</x:v>
      </x:c>
      <x:c r="C95" s="13" t="str">
        <x:v>G94</x:v>
      </x:c>
      <x:c r="D95" s="13" t="str">
        <x:v>R03</x:v>
      </x:c>
      <x:c r="E95" s="13" t="str">
        <x:v>Fundraising systems &amp; go/no-go</x:v>
      </x:c>
      <x:c r="F95" s="13" t="str">
        <x:v>D05</x:v>
      </x:c>
      <x:c r="G95" s="13" t="str">
        <x:v>Pipeline tracking and ownership</x:v>
      </x:c>
      <x:c r="H95" s="13" t="str">
        <x:v>B2 - Funding Intelligence &amp; System Discipline</x:v>
      </x:c>
      <x:c r="I95" s="13" t="str"/>
      <x:c r="J95" s="13" t="str">
        <x:v>We record why each application was submitted, paused, rejected, shortlisted, or awarded.</x:v>
      </x:c>
      <x:c r="K95" s="13" t="str">
        <x:v>Post-submission follow-up system</x:v>
      </x:c>
      <x:c r="L95" s="13" t="str">
        <x:v>Checks whether the pipeline becomes organisational learning, not only activity tracking.</x:v>
      </x:c>
      <x:c r="M95" s="13" t="str">
        <x:v>1 — Decisions and outcomes are not recorded in a way the team can learn from</x:v>
      </x:c>
      <x:c r="N95" s="13" t="str">
        <x:v>2 — Some decisions are remembered, but reasons are not captured consistently</x:v>
      </x:c>
      <x:c r="O95" s="13" t="str">
        <x:v>3 — Outcomes are recorded, but the reasons and learning are incomplete</x:v>
      </x:c>
      <x:c r="P95" s="13" t="str">
        <x:v>4 — Most decisions and outcomes include reasons and learning notes</x:v>
      </x:c>
      <x:c r="Q95" s="13" t="str">
        <x:v>5 — Every funding decision and outcome is captured and used to improve future choices</x:v>
      </x:c>
      <x:c r="R95" s="13" t="str">
        <x:v>N/A — Not applicable / unsafe to answer</x:v>
      </x:c>
      <x:c r="S95" s="13" t="str">
        <x:v>Single choice score (1–5 + N/A)</x:v>
      </x:c>
      <x:c r="T95" s="13" t="str">
        <x:v>Fundraising systems &amp; go/no-go; B2 Funding Intelligence &amp; System Discipline; Opportunity; Application Submitted</x:v>
      </x:c>
      <x:c r="U95" s="13" t="str">
        <x:v>Framework gap-fill — missing dimension item added</x:v>
      </x:c>
    </x:row>
    <x:row r="96">
      <x:c r="A96" s="13" t="str">
        <x:v>R03.09</x:v>
      </x:c>
      <x:c r="B96" s="13" t="str">
        <x:v>95</x:v>
      </x:c>
      <x:c r="C96" s="13" t="str">
        <x:v>G95</x:v>
      </x:c>
      <x:c r="D96" s="13" t="str">
        <x:v>R03</x:v>
      </x:c>
      <x:c r="E96" s="13" t="str">
        <x:v>Fundraising systems &amp; go/no-go</x:v>
      </x:c>
      <x:c r="F96" s="13" t="str">
        <x:v>D06</x:v>
      </x:c>
      <x:c r="G96" s="13" t="str">
        <x:v>Go/no-go discipline and repair loop</x:v>
      </x:c>
      <x:c r="H96" s="13" t="str">
        <x:v>B2 - Funding Intelligence &amp; System Discipline</x:v>
      </x:c>
      <x:c r="I96" s="13" t="str"/>
      <x:c r="J96" s="13" t="str">
        <x:v>We have a pre-submission checklist that confirms fit, route, documents, budget, proof, safety, and reviewer readiness.</x:v>
      </x:c>
      <x:c r="K96" s="13" t="str">
        <x:v>Ethical screening and mission-drift control</x:v>
      </x:c>
      <x:c r="L96" s="13" t="str">
        <x:v>Checks whether applications are quality-controlled before submission.</x:v>
      </x:c>
      <x:c r="M96" s="13" t="str">
        <x:v>1 — Applications are submitted without a consistent pre-submission check</x:v>
      </x:c>
      <x:c r="N96" s="13" t="str">
        <x:v>2 — Checks happen informally or too late</x:v>
      </x:c>
      <x:c r="O96" s="13" t="str">
        <x:v>3 — Some checks happen, but important areas are still missed</x:v>
      </x:c>
      <x:c r="P96" s="13" t="str">
        <x:v>4 — A pre-submission checklist is mostly used with minor gaps</x:v>
      </x:c>
      <x:c r="Q96" s="13" t="str">
        <x:v>5 — No application is submitted without a completed fit, route, document, budget, proof and safety check</x:v>
      </x:c>
      <x:c r="R96" s="13" t="str">
        <x:v>N/A — Not applicable / unsafe to answer</x:v>
      </x:c>
      <x:c r="S96" s="13" t="str">
        <x:v>Single choice score (1–5 + N/A)</x:v>
      </x:c>
      <x:c r="T96" s="13" t="str">
        <x:v>Fundraising systems &amp; go/no-go; B2 Funding Intelligence &amp; System Discipline; Opportunity; Application Submitted</x:v>
      </x:c>
      <x:c r="U96" s="13" t="str">
        <x:v>Framework gap-fill — missing dimension item added</x:v>
      </x:c>
    </x:row>
    <x:row r="97">
      <x:c r="A97" s="13" t="str">
        <x:v>R04.09</x:v>
      </x:c>
      <x:c r="B97" s="13" t="str">
        <x:v>96</x:v>
      </x:c>
      <x:c r="C97" s="13" t="str">
        <x:v>G96</x:v>
      </x:c>
      <x:c r="D97" s="13" t="str">
        <x:v>R04</x:v>
      </x:c>
      <x:c r="E97" s="13" t="str">
        <x:v>Funder fit &amp; work design</x:v>
      </x:c>
      <x:c r="F97" s="13" t="str">
        <x:v>D07</x:v>
      </x:c>
      <x:c r="G97" s="13" t="str">
        <x:v>Mandate and eligibility fit</x:v>
      </x:c>
      <x:c r="H97" s="13" t="str">
        <x:v>B3 - Fit, Competitiveness &amp; Access</x:v>
      </x:c>
      <x:c r="I97" s="13" t="str"/>
      <x:c r="J97" s="13" t="str">
        <x:v>We test whether the proposed activities match what this funder is willing to pay for, not only what they say they value.</x:v>
      </x:c>
      <x:c r="K97" s="13" t="str">
        <x:v>Time horizon and implementation fit</x:v>
      </x:c>
      <x:c r="L97" s="13" t="str">
        <x:v>Checks whether value fit is translated into fundable work design.</x:v>
      </x:c>
      <x:c r="M97" s="13" t="str">
        <x:v>1 — Activity fit is assumed from values alignment</x:v>
      </x:c>
      <x:c r="N97" s="13" t="str">
        <x:v>2 — Activity fit is checked generally, but not against funded examples or guidelines</x:v>
      </x:c>
      <x:c r="O97" s="13" t="str">
        <x:v>3 — Some activities fit, but unfunded components remain unclear</x:v>
      </x:c>
      <x:c r="P97" s="13" t="str">
        <x:v>4 — Most activities are matched to what the funder actually pays for</x:v>
      </x:c>
      <x:c r="Q97" s="13" t="str">
        <x:v>5 — Activities are designed around verified funder appetite without distorting the mission</x:v>
      </x:c>
      <x:c r="R97" s="13" t="str">
        <x:v>N/A — Not applicable / unsafe to answer</x:v>
      </x:c>
      <x:c r="S97" s="13" t="str">
        <x:v>Single choice score (1–5 + N/A)</x:v>
      </x:c>
      <x:c r="T97" s="13" t="str">
        <x:v>Funder fit &amp; work design; B3 Fit, Competitiveness &amp; Access; Eligibility; Proposal Review</x:v>
      </x:c>
      <x:c r="U97" s="13" t="str">
        <x:v>Framework gap-fill — missing dimension item added</x:v>
      </x:c>
    </x:row>
    <x:row r="98">
      <x:c r="A98" s="13" t="str">
        <x:v>R04.10</x:v>
      </x:c>
      <x:c r="B98" s="13" t="str">
        <x:v>97</x:v>
      </x:c>
      <x:c r="C98" s="13" t="str">
        <x:v>G97</x:v>
      </x:c>
      <x:c r="D98" s="13" t="str">
        <x:v>R04</x:v>
      </x:c>
      <x:c r="E98" s="13" t="str">
        <x:v>Funder fit &amp; work design</x:v>
      </x:c>
      <x:c r="F98" s="13" t="str">
        <x:v>D08</x:v>
      </x:c>
      <x:c r="G98" s="13" t="str">
        <x:v>Work design and grant-size fit</x:v>
      </x:c>
      <x:c r="H98" s="13" t="str">
        <x:v>B3 - Fit, Competitiveness &amp; Access</x:v>
      </x:c>
      <x:c r="I98" s="13" t="str"/>
      <x:c r="J98" s="13" t="str">
        <x:v>We right-size the ask so the amount, period, outputs and team capacity make sense together.</x:v>
      </x:c>
      <x:c r="K98" s="13" t="str">
        <x:v>Mission-distortion risk check</x:v>
      </x:c>
      <x:c r="L98" s="13" t="str">
        <x:v>Checks whether the grant design feels feasible to a funder.</x:v>
      </x:c>
      <x:c r="M98" s="13" t="str">
        <x:v>1 — Amount, period, outputs and capacity are not tested together</x:v>
      </x:c>
      <x:c r="N98" s="13" t="str">
        <x:v>2 — The ask is based mostly on need rather than funder and delivery fit</x:v>
      </x:c>
      <x:c r="O98" s="13" t="str">
        <x:v>3 — The ask is partly right-sized, but feasibility concerns remain</x:v>
      </x:c>
      <x:c r="P98" s="13" t="str">
        <x:v>4 — The ask is mostly realistic for the team, period and funder</x:v>
      </x:c>
      <x:c r="Q98" s="13" t="str">
        <x:v>5 — Amount, period, outputs, team capacity and funder expectations are clearly right-sized</x:v>
      </x:c>
      <x:c r="R98" s="13" t="str">
        <x:v>N/A — Not applicable / unsafe to answer</x:v>
      </x:c>
      <x:c r="S98" s="13" t="str">
        <x:v>Single choice score (1–5 + N/A)</x:v>
      </x:c>
      <x:c r="T98" s="13" t="str">
        <x:v>Funder fit &amp; work design; B3 Fit, Competitiveness &amp; Access; Eligibility; Proposal Review</x:v>
      </x:c>
      <x:c r="U98" s="13" t="str">
        <x:v>Framework gap-fill — missing dimension item added</x:v>
      </x:c>
    </x:row>
    <x:row r="99">
      <x:c r="A99" s="13" t="str">
        <x:v>R04.11</x:v>
      </x:c>
      <x:c r="B99" s="13" t="str">
        <x:v>98</x:v>
      </x:c>
      <x:c r="C99" s="13" t="str">
        <x:v>G98</x:v>
      </x:c>
      <x:c r="D99" s="13" t="str">
        <x:v>R04</x:v>
      </x:c>
      <x:c r="E99" s="13" t="str">
        <x:v>Funder fit &amp; work design</x:v>
      </x:c>
      <x:c r="F99" s="13" t="str">
        <x:v>D08</x:v>
      </x:c>
      <x:c r="G99" s="13" t="str">
        <x:v>Work design and grant-size fit</x:v>
      </x:c>
      <x:c r="H99" s="13" t="str">
        <x:v>B3 - Fit, Competitiveness &amp; Access</x:v>
      </x:c>
      <x:c r="I99" s="13" t="str"/>
      <x:c r="J99" s="13" t="str">
        <x:v>We can adapt the work design for different funder types without changing the integrity of the work.</x:v>
      </x:c>
      <x:c r="K99" s="13" t="str">
        <x:v>Partnership or co-funding fit</x:v>
      </x:c>
      <x:c r="L99" s="13" t="str">
        <x:v>Checks whether adaptation is strategic rather than mission drift.</x:v>
      </x:c>
      <x:c r="M99" s="13" t="str">
        <x:v>1 — We either do not adapt or we adapt in ways that could distort the work</x:v>
      </x:c>
      <x:c r="N99" s="13" t="str">
        <x:v>2 — Adaptation is possible, but not guided by clear boundaries</x:v>
      </x:c>
      <x:c r="O99" s="13" t="str">
        <x:v>3 — Some funder-specific adaptation is safe, but boundaries need strengthening</x:v>
      </x:c>
      <x:c r="P99" s="13" t="str">
        <x:v>4 — Work design can mostly be adapted while protecting integrity</x:v>
      </x:c>
      <x:c r="Q99" s="13" t="str">
        <x:v>5 — The team has clear adaptation boundaries and can tailor the ask safely by funder type</x:v>
      </x:c>
      <x:c r="R99" s="13" t="str">
        <x:v>N/A — Not applicable / unsafe to answer</x:v>
      </x:c>
      <x:c r="S99" s="13" t="str">
        <x:v>Single choice score (1–5 + N/A)</x:v>
      </x:c>
      <x:c r="T99" s="13" t="str">
        <x:v>Funder fit &amp; work design; B3 Fit, Competitiveness &amp; Access; Eligibility; Proposal Review</x:v>
      </x:c>
      <x:c r="U99" s="13" t="str">
        <x:v>Framework gap-fill — missing dimension item added</x:v>
      </x:c>
    </x:row>
    <x:row r="100">
      <x:c r="A100" s="13" t="str">
        <x:v>R05.04</x:v>
      </x:c>
      <x:c r="B100" s="13" t="str">
        <x:v>99</x:v>
      </x:c>
      <x:c r="C100" s="13" t="str">
        <x:v>G99</x:v>
      </x:c>
      <x:c r="D100" s="13" t="str">
        <x:v>R05</x:v>
      </x:c>
      <x:c r="E100" s="13" t="str">
        <x:v>Competitive positioning, appeal &amp; ROI</x:v>
      </x:c>
      <x:c r="F100" s="13" t="str">
        <x:v>D09</x:v>
      </x:c>
      <x:c r="G100" s="13" t="str">
        <x:v>Competitive positioning</x:v>
      </x:c>
      <x:c r="H100" s="13" t="str">
        <x:v>B3 - Fit, Competitiveness &amp; Access</x:v>
      </x:c>
      <x:c r="I100" s="13" t="str"/>
      <x:c r="J100" s="13" t="str">
        <x:v>We can show why our approach is stronger, more trusted, more cost-effective, or better positioned than similar applicants.</x:v>
      </x:c>
      <x:c r="K100" s="13" t="str">
        <x:v>Urgency and why-now argument</x:v>
      </x:c>
      <x:c r="L100" s="13" t="str">
        <x:v>Checks whether the organisation has a funder-facing value case, not only a cause case.</x:v>
      </x:c>
      <x:c r="M100" s="13" t="str">
        <x:v>1 — We cannot yet explain our edge against similar applicants</x:v>
      </x:c>
      <x:c r="N100" s="13" t="str">
        <x:v>2 — Our edge is mostly implied or identity-based</x:v>
      </x:c>
      <x:c r="O100" s="13" t="str">
        <x:v>3 — We can explain some strengths, but the value case is not sharp enough</x:v>
      </x:c>
      <x:c r="P100" s="13" t="str">
        <x:v>4 — Our distinctive value is mostly clear and usable in applications</x:v>
      </x:c>
      <x:c r="Q100" s="13" t="str">
        <x:v>5 — Our distinctive value, proof, trust position and funder benefit are clearly evidenced</x:v>
      </x:c>
      <x:c r="R100" s="13" t="str">
        <x:v>N/A — Not applicable / unsafe to answer</x:v>
      </x:c>
      <x:c r="S100" s="13" t="str">
        <x:v>Single choice score (1–5 + N/A)</x:v>
      </x:c>
      <x:c r="T100" s="13" t="str">
        <x:v>Competitive positioning, appeal &amp; ROI; B3 Fit, Competitiveness &amp; Access; Proposal Review</x:v>
      </x:c>
      <x:c r="U100" s="13" t="str">
        <x:v>Framework gap-fill — missing dimension item added</x:v>
      </x:c>
    </x:row>
    <x:row r="101">
      <x:c r="A101" s="13" t="str">
        <x:v>R05.05</x:v>
      </x:c>
      <x:c r="B101" s="13" t="str">
        <x:v>100</x:v>
      </x:c>
      <x:c r="C101" s="13" t="str">
        <x:v>G100</x:v>
      </x:c>
      <x:c r="D101" s="13" t="str">
        <x:v>R05</x:v>
      </x:c>
      <x:c r="E101" s="13" t="str">
        <x:v>Competitive positioning, appeal &amp; ROI</x:v>
      </x:c>
      <x:c r="F101" s="13" t="str">
        <x:v>D09</x:v>
      </x:c>
      <x:c r="G101" s="13" t="str">
        <x:v>Competitive positioning</x:v>
      </x:c>
      <x:c r="H101" s="13" t="str">
        <x:v>B3 - Fit, Competitiveness &amp; Access</x:v>
      </x:c>
      <x:c r="I101" s="13" t="str"/>
      <x:c r="J101" s="13" t="str">
        <x:v>We can describe the return on investment funders receive in learning, reach, legitimacy, risk reduction, or strategic influence.</x:v>
      </x:c>
      <x:c r="K101" s="13" t="str">
        <x:v>Competitive landscape awareness</x:v>
      </x:c>
      <x:c r="L101" s="13" t="str">
        <x:v>Checks whether ROI is framed in ways that fit social justice and grassroots work.</x:v>
      </x:c>
      <x:c r="M101" s="13" t="str">
        <x:v>1 — The funder value or return is not described clearly</x:v>
      </x:c>
      <x:c r="N101" s="13" t="str">
        <x:v>2 — Value is described broadly, without proof or funder relevance</x:v>
      </x:c>
      <x:c r="O101" s="13" t="str">
        <x:v>3 — Some funder value is visible, but it is not tailored to funder priorities</x:v>
      </x:c>
      <x:c r="P101" s="13" t="str">
        <x:v>4 — Funder value is mostly clear and linked to evidence</x:v>
      </x:c>
      <x:c r="Q101" s="13" t="str">
        <x:v>5 — Funder return is clear, ethical, evidenced and tailored to the funder type</x:v>
      </x:c>
      <x:c r="R101" s="13" t="str">
        <x:v>N/A — Not applicable / unsafe to answer</x:v>
      </x:c>
      <x:c r="S101" s="13" t="str">
        <x:v>Single choice score (1–5 + N/A)</x:v>
      </x:c>
      <x:c r="T101" s="13" t="str">
        <x:v>Competitive positioning, appeal &amp; ROI; B3 Fit, Competitiveness &amp; Access; Proposal Review</x:v>
      </x:c>
      <x:c r="U101" s="13" t="str">
        <x:v>Framework gap-fill — missing dimension item added</x:v>
      </x:c>
    </x:row>
    <x:row r="102">
      <x:c r="A102" s="13" t="str">
        <x:v>R05.06</x:v>
      </x:c>
      <x:c r="B102" s="13" t="str">
        <x:v>101</x:v>
      </x:c>
      <x:c r="C102" s="13" t="str">
        <x:v>G101</x:v>
      </x:c>
      <x:c r="D102" s="13" t="str">
        <x:v>R05</x:v>
      </x:c>
      <x:c r="E102" s="13" t="str">
        <x:v>Competitive positioning, appeal &amp; ROI</x:v>
      </x:c>
      <x:c r="F102" s="13" t="str">
        <x:v>D10</x:v>
      </x:c>
      <x:c r="G102" s="13" t="str">
        <x:v>Value case and ROI</x:v>
      </x:c>
      <x:c r="H102" s="13" t="str">
        <x:v>B3 - Fit, Competitiveness &amp; Access</x:v>
      </x:c>
      <x:c r="I102" s="13" t="str"/>
      <x:c r="J102" s="13" t="str">
        <x:v>We know which proof points make our work more credible than a generic proposal in the same field.</x:v>
      </x:c>
      <x:c r="K102" s="13" t="str">
        <x:v>Funder benefit and portfolio value</x:v>
      </x:c>
      <x:c r="L102" s="13" t="str">
        <x:v>Checks whether proof is selected competitively, not just collected.</x:v>
      </x:c>
      <x:c r="M102" s="13" t="str">
        <x:v>1 — Proof points are not selected strategically for competitiveness</x:v>
      </x:c>
      <x:c r="N102" s="13" t="str">
        <x:v>2 — Proof exists, but the strongest proof points are not identified</x:v>
      </x:c>
      <x:c r="O102" s="13" t="str">
        <x:v>3 — Some strong proof points are known, but they are not consistently used</x:v>
      </x:c>
      <x:c r="P102" s="13" t="str">
        <x:v>4 — Most applications use proof points that strengthen credibility</x:v>
      </x:c>
      <x:c r="Q102" s="13" t="str">
        <x:v>5 — The strongest proof points are selected and tailored for each priority funder</x:v>
      </x:c>
      <x:c r="R102" s="13" t="str">
        <x:v>N/A — Not applicable / unsafe to answer</x:v>
      </x:c>
      <x:c r="S102" s="13" t="str">
        <x:v>Single choice score (1–5 + N/A)</x:v>
      </x:c>
      <x:c r="T102" s="13" t="str">
        <x:v>Competitive positioning, appeal &amp; ROI; B3 Fit, Competitiveness &amp; Access; Proposal Review</x:v>
      </x:c>
      <x:c r="U102" s="13" t="str">
        <x:v>Framework gap-fill — missing dimension item added</x:v>
      </x:c>
    </x:row>
    <x:row r="103">
      <x:c r="A103" s="13" t="str">
        <x:v>R05.07</x:v>
      </x:c>
      <x:c r="B103" s="13" t="str">
        <x:v>102</x:v>
      </x:c>
      <x:c r="C103" s="13" t="str">
        <x:v>G102</x:v>
      </x:c>
      <x:c r="D103" s="13" t="str">
        <x:v>R05</x:v>
      </x:c>
      <x:c r="E103" s="13" t="str">
        <x:v>Competitive positioning, appeal &amp; ROI</x:v>
      </x:c>
      <x:c r="F103" s="13" t="str">
        <x:v>D10</x:v>
      </x:c>
      <x:c r="G103" s="13" t="str">
        <x:v>Value case and ROI</x:v>
      </x:c>
      <x:c r="H103" s="13" t="str">
        <x:v>B3 - Fit, Competitiveness &amp; Access</x:v>
      </x:c>
      <x:c r="I103" s="13" t="str"/>
      <x:c r="J103" s="13" t="str">
        <x:v>We can show why funding us now matters in this specific moment.</x:v>
      </x:c>
      <x:c r="K103" s="13" t="str">
        <x:v>Pitch clarity</x:v>
      </x:c>
      <x:c r="L103" s="13" t="str">
        <x:v>Checks whether the proposal has urgency and timing value.</x:v>
      </x:c>
      <x:c r="M103" s="13" t="str">
        <x:v>1 — The reason to fund us now is not clear</x:v>
      </x:c>
      <x:c r="N103" s="13" t="str">
        <x:v>2 — Urgency is described generally or emotionally, without strategic timing</x:v>
      </x:c>
      <x:c r="O103" s="13" t="str">
        <x:v>3 — Some timing logic exists, but it needs clearer evidence or funder relevance</x:v>
      </x:c>
      <x:c r="P103" s="13" t="str">
        <x:v>4 — The why-now case is mostly clear and useful</x:v>
      </x:c>
      <x:c r="Q103" s="13" t="str">
        <x:v>5 — The why-now case is specific, evidenced and linked to funder timing or context</x:v>
      </x:c>
      <x:c r="R103" s="13" t="str">
        <x:v>N/A — Not applicable / unsafe to answer</x:v>
      </x:c>
      <x:c r="S103" s="13" t="str">
        <x:v>Single choice score (1–5 + N/A)</x:v>
      </x:c>
      <x:c r="T103" s="13" t="str">
        <x:v>Competitive positioning, appeal &amp; ROI; B3 Fit, Competitiveness &amp; Access; Proposal Review</x:v>
      </x:c>
      <x:c r="U103" s="13" t="str">
        <x:v>Framework gap-fill — missing dimension item added</x:v>
      </x:c>
    </x:row>
    <x:row r="104">
      <x:c r="A104" s="13" t="str">
        <x:v>R05.08</x:v>
      </x:c>
      <x:c r="B104" s="13" t="str">
        <x:v>103</x:v>
      </x:c>
      <x:c r="C104" s="13" t="str">
        <x:v>G103</x:v>
      </x:c>
      <x:c r="D104" s="13" t="str">
        <x:v>R05</x:v>
      </x:c>
      <x:c r="E104" s="13" t="str">
        <x:v>Competitive positioning, appeal &amp; ROI</x:v>
      </x:c>
      <x:c r="F104" s="13" t="str">
        <x:v>D09</x:v>
      </x:c>
      <x:c r="G104" s="13" t="str">
        <x:v>Competitive positioning</x:v>
      </x:c>
      <x:c r="H104" s="13" t="str">
        <x:v>B3 - Fit, Competitiveness &amp; Access</x:v>
      </x:c>
      <x:c r="I104" s="13" t="str"/>
      <x:c r="J104" s="13" t="str">
        <x:v>We can name the strongest alternatives a funder might compare us against and explain our distinct contribution.</x:v>
      </x:c>
      <x:c r="K104" s="13" t="str">
        <x:v>Brand, activity and ask coherence</x:v>
      </x:c>
      <x:c r="L104" s="13" t="str">
        <x:v>Checks whether the organisation understands competitive density and its own place in the ecosystem.</x:v>
      </x:c>
      <x:c r="M104" s="13" t="str">
        <x:v>1 — We do not know who or what funders may compare us against</x:v>
      </x:c>
      <x:c r="N104" s="13" t="str">
        <x:v>2 — Comparisons are guessed and not linked to positioning</x:v>
      </x:c>
      <x:c r="O104" s="13" t="str">
        <x:v>3 — We know some comparable organisations or routes, but our distinct contribution is not clear enough</x:v>
      </x:c>
      <x:c r="P104" s="13" t="str">
        <x:v>4 — We mostly understand the comparison set and can explain our contribution</x:v>
      </x:c>
      <x:c r="Q104" s="13" t="str">
        <x:v>5 — We understand the comparison set and clearly show our distinctive role without undermining peers</x:v>
      </x:c>
      <x:c r="R104" s="13" t="str">
        <x:v>N/A — Not applicable / unsafe to answer</x:v>
      </x:c>
      <x:c r="S104" s="13" t="str">
        <x:v>Single choice score (1–5 + N/A)</x:v>
      </x:c>
      <x:c r="T104" s="13" t="str">
        <x:v>Competitive positioning, appeal &amp; ROI; B3 Fit, Competitiveness &amp; Access; Proposal Review</x:v>
      </x:c>
      <x:c r="U104" s="13" t="str">
        <x:v>Framework gap-fill — missing dimension item added</x:v>
      </x:c>
    </x:row>
    <x:row r="105">
      <x:c r="A105" s="13" t="str">
        <x:v>R06.07</x:v>
      </x:c>
      <x:c r="B105" s="13" t="str">
        <x:v>104</x:v>
      </x:c>
      <x:c r="C105" s="13" t="str">
        <x:v>G104</x:v>
      </x:c>
      <x:c r="D105" s="13" t="str">
        <x:v>R06</x:v>
      </x:c>
      <x:c r="E105" s="13" t="str">
        <x:v>Network position &amp; access routes</x:v>
      </x:c>
      <x:c r="F105" s="13" t="str">
        <x:v>D11</x:v>
      </x:c>
      <x:c r="G105" s="13" t="str">
        <x:v>Access routes</x:v>
      </x:c>
      <x:c r="H105" s="13" t="str">
        <x:v>B3 - Fit, Competitiveness &amp; Access</x:v>
      </x:c>
      <x:c r="I105" s="13" t="str"/>
      <x:c r="J105" s="13" t="str">
        <x:v>For each priority funder, we know whether the best route is open call, invitation, warm referral, intermediary, re-granter, fiscal host, or consortium.</x:v>
      </x:c>
      <x:c r="K105" s="13" t="str">
        <x:v>Regional re-granter pathways</x:v>
      </x:c>
      <x:c r="L105" s="13" t="str">
        <x:v>Checks whether access strategy is specific to the funder route.</x:v>
      </x:c>
      <x:c r="M105" s="13" t="str">
        <x:v>1 — Route choice is mostly unknown or assumed</x:v>
      </x:c>
      <x:c r="N105" s="13" t="str">
        <x:v>2 — We know some route types, but not the best route by priority funder</x:v>
      </x:c>
      <x:c r="O105" s="13" t="str">
        <x:v>3 — Some priority funders have a route mapped, but the map is incomplete</x:v>
      </x:c>
      <x:c r="P105" s="13" t="str">
        <x:v>4 — Most priority funders have a clear route with minor gaps</x:v>
      </x:c>
      <x:c r="Q105" s="13" t="str">
        <x:v>5 — Every priority funder has a verified route and next access move</x:v>
      </x:c>
      <x:c r="R105" s="13" t="str">
        <x:v>N/A — Not applicable / unsafe to answer</x:v>
      </x:c>
      <x:c r="S105" s="13" t="str">
        <x:v>Single choice score (1–5 + N/A)</x:v>
      </x:c>
      <x:c r="T105" s="13" t="str">
        <x:v>Network position &amp; access routes; B3 Fit, Competitiveness &amp; Access; Opportunity; Conversation</x:v>
      </x:c>
      <x:c r="U105" s="13" t="str">
        <x:v>Framework gap-fill — missing dimension item added</x:v>
      </x:c>
    </x:row>
    <x:row r="106">
      <x:c r="A106" s="13" t="str">
        <x:v>R06.08</x:v>
      </x:c>
      <x:c r="B106" s="13" t="str">
        <x:v>105</x:v>
      </x:c>
      <x:c r="C106" s="13" t="str">
        <x:v>G105</x:v>
      </x:c>
      <x:c r="D106" s="13" t="str">
        <x:v>R06</x:v>
      </x:c>
      <x:c r="E106" s="13" t="str">
        <x:v>Network position &amp; access routes</x:v>
      </x:c>
      <x:c r="F106" s="13" t="str">
        <x:v>D12</x:v>
      </x:c>
      <x:c r="G106" s="13" t="str">
        <x:v>Referrals and intermediaries</x:v>
      </x:c>
      <x:c r="H106" s="13" t="str">
        <x:v>B3 - Fit, Competitiveness &amp; Access</x:v>
      </x:c>
      <x:c r="I106" s="13" t="str"/>
      <x:c r="J106" s="13" t="str">
        <x:v>We have at least one trusted person, partner, reference, or intermediary who can help us reach priority funders safely.</x:v>
      </x:c>
      <x:c r="K106" s="13" t="str">
        <x:v>Safe route architecture</x:v>
      </x:c>
      <x:c r="L106" s="13" t="str">
        <x:v>Checks whether access has a credible human route.</x:v>
      </x:c>
      <x:c r="M106" s="13" t="str">
        <x:v>1 — No trusted access route is visible for priority funders</x:v>
      </x:c>
      <x:c r="N106" s="13" t="str">
        <x:v>2 — Possible access people are known, but not engaged or verified</x:v>
      </x:c>
      <x:c r="O106" s="13" t="str">
        <x:v>3 — Some access people exist, but routes are not dependable</x:v>
      </x:c>
      <x:c r="P106" s="13" t="str">
        <x:v>4 — Most priority funders have a possible trusted access route</x:v>
      </x:c>
      <x:c r="Q106" s="13" t="str">
        <x:v>5 — Trusted access routes are verified, appropriate and ready to use where needed</x:v>
      </x:c>
      <x:c r="R106" s="13" t="str">
        <x:v>N/A — Not applicable / unsafe to answer</x:v>
      </x:c>
      <x:c r="S106" s="13" t="str">
        <x:v>Single choice score (1–5 + N/A)</x:v>
      </x:c>
      <x:c r="T106" s="13" t="str">
        <x:v>Network position &amp; access routes; B3 Fit, Competitiveness &amp; Access; Opportunity; Conversation</x:v>
      </x:c>
      <x:c r="U106" s="13" t="str">
        <x:v>Framework gap-fill — missing dimension item added</x:v>
      </x:c>
    </x:row>
    <x:row r="107">
      <x:c r="A107" s="13" t="str">
        <x:v>R06.09</x:v>
      </x:c>
      <x:c r="B107" s="13" t="str">
        <x:v>106</x:v>
      </x:c>
      <x:c r="C107" s="13" t="str">
        <x:v>G106</x:v>
      </x:c>
      <x:c r="D107" s="13" t="str">
        <x:v>R06</x:v>
      </x:c>
      <x:c r="E107" s="13" t="str">
        <x:v>Network position &amp; access routes</x:v>
      </x:c>
      <x:c r="F107" s="13" t="str">
        <x:v>D12</x:v>
      </x:c>
      <x:c r="G107" s="13" t="str">
        <x:v>Referrals and intermediaries</x:v>
      </x:c>
      <x:c r="H107" s="13" t="str">
        <x:v>B3 - Fit, Competitiveness &amp; Access</x:v>
      </x:c>
      <x:c r="I107" s="13" t="str"/>
      <x:c r="J107" s="13" t="str">
        <x:v>We know which routes should be avoided because they are cold, unsafe, too competitive, or mismatched to our current readiness.</x:v>
      </x:c>
      <x:c r="K107" s="13" t="str">
        <x:v>Post-submission route follow-up</x:v>
      </x:c>
      <x:c r="L107" s="13" t="str">
        <x:v>Checks whether the route strategy includes avoid-for-now rules.</x:v>
      </x:c>
      <x:c r="M107" s="13" t="str">
        <x:v>1 — We do not identify routes to avoid before applying</x:v>
      </x:c>
      <x:c r="N107" s="13" t="str">
        <x:v>2 — Avoid-for-now decisions are informal or made too late</x:v>
      </x:c>
      <x:c r="O107" s="13" t="str">
        <x:v>3 — Some weak routes are recognised, but the rule is not consistent</x:v>
      </x:c>
      <x:c r="P107" s="13" t="str">
        <x:v>4 — Weak or unsafe routes are mostly identified before effort is spent</x:v>
      </x:c>
      <x:c r="Q107" s="13" t="str">
        <x:v>5 — Use-now, repair-toward, delay and avoid routes are clearly set before application effort begins</x:v>
      </x:c>
      <x:c r="R107" s="13" t="str">
        <x:v>N/A — Not applicable / unsafe to answer</x:v>
      </x:c>
      <x:c r="S107" s="13" t="str">
        <x:v>Single choice score (1–5 + N/A)</x:v>
      </x:c>
      <x:c r="T107" s="13" t="str">
        <x:v>Network position &amp; access routes; B3 Fit, Competitiveness &amp; Access; Opportunity; Conversation</x:v>
      </x:c>
      <x:c r="U107" s="13" t="str">
        <x:v>Framework gap-fill — missing dimension item added</x:v>
      </x:c>
    </x:row>
    <x:row r="108">
      <x:c r="A108" s="13" t="str">
        <x:v>R07.07</x:v>
      </x:c>
      <x:c r="B108" s="13" t="str">
        <x:v>107</x:v>
      </x:c>
      <x:c r="C108" s="13" t="str">
        <x:v>G107</x:v>
      </x:c>
      <x:c r="D108" s="13" t="str">
        <x:v>R07</x:v>
      </x:c>
      <x:c r="E108" s="13" t="str">
        <x:v>Relationship, leadership &amp; visibility</x:v>
      </x:c>
      <x:c r="F108" s="13" t="str">
        <x:v>D13</x:v>
      </x:c>
      <x:c r="G108" s="13" t="str">
        <x:v>Relationship management</x:v>
      </x:c>
      <x:c r="H108" s="13" t="str">
        <x:v>B3 - Fit, Competitiveness &amp; Access</x:v>
      </x:c>
      <x:c r="I108" s="13" t="str"/>
      <x:c r="J108" s="13" t="str">
        <x:v>We send credible updates to funders, partners, allies, or references before we need to ask for money.</x:v>
      </x:c>
      <x:c r="K108" s="13" t="str">
        <x:v>Renewal conversation discipline</x:v>
      </x:c>
      <x:c r="L108" s="13" t="str">
        <x:v>Checks whether relationship trust is built before proposal moments.</x:v>
      </x:c>
      <x:c r="M108" s="13" t="str">
        <x:v>1 — We usually contact people only when we need funding</x:v>
      </x:c>
      <x:c r="N108" s="13" t="str">
        <x:v>2 — Updates are occasional and not linked to priority relationships</x:v>
      </x:c>
      <x:c r="O108" s="13" t="str">
        <x:v>3 — Some updates happen, but not consistently or strategically</x:v>
      </x:c>
      <x:c r="P108" s="13" t="str">
        <x:v>4 — Priority relationships mostly receive credible updates before asks</x:v>
      </x:c>
      <x:c r="Q108" s="13" t="str">
        <x:v>5 — Updates, learning and proof are shared consistently before funding asks</x:v>
      </x:c>
      <x:c r="R108" s="13" t="str">
        <x:v>N/A — Not applicable / unsafe to answer</x:v>
      </x:c>
      <x:c r="S108" s="13" t="str">
        <x:v>Single choice score (1–5 + N/A)</x:v>
      </x:c>
      <x:c r="T108" s="13" t="str">
        <x:v>Relationship, leadership &amp; visibility; B3 Fit, Competitiveness &amp; Access; Conversation; Award/Renewal</x:v>
      </x:c>
      <x:c r="U108" s="13" t="str">
        <x:v>Framework gap-fill — missing dimension item added</x:v>
      </x:c>
    </x:row>
    <x:row r="109">
      <x:c r="A109" s="13" t="str">
        <x:v>R07.08</x:v>
      </x:c>
      <x:c r="B109" s="13" t="str">
        <x:v>108</x:v>
      </x:c>
      <x:c r="C109" s="13" t="str">
        <x:v>G108</x:v>
      </x:c>
      <x:c r="D109" s="13" t="str">
        <x:v>R07</x:v>
      </x:c>
      <x:c r="E109" s="13" t="str">
        <x:v>Relationship, leadership &amp; visibility</x:v>
      </x:c>
      <x:c r="F109" s="13" t="str">
        <x:v>D14</x:v>
      </x:c>
      <x:c r="G109" s="13" t="str">
        <x:v>Leadership visibility</x:v>
      </x:c>
      <x:c r="H109" s="13" t="str">
        <x:v>B3 - Fit, Competitiveness &amp; Access</x:v>
      </x:c>
      <x:c r="I109" s="13" t="str"/>
      <x:c r="J109" s="13" t="str">
        <x:v>Our leadership visibility is strong enough for funders to know who carries the work and why they can trust them.</x:v>
      </x:c>
      <x:c r="K109" s="13" t="str">
        <x:v>Public/private communication rhythm</x:v>
      </x:c>
      <x:c r="L109" s="13" t="str">
        <x:v>Checks whether leadership signal supports confidence without requiring unsafe exposure.</x:v>
      </x:c>
      <x:c r="M109" s="13" t="str">
        <x:v>1 — Leadership is not visible or safely verifiable to funders</x:v>
      </x:c>
      <x:c r="N109" s="13" t="str">
        <x:v>2 — Leadership is visible informally, but trust signals are weak or unsafe</x:v>
      </x:c>
      <x:c r="O109" s="13" t="str">
        <x:v>3 — Some leadership signal exists, but it needs clearer proof or safer framing</x:v>
      </x:c>
      <x:c r="P109" s="13" t="str">
        <x:v>4 — Leadership visibility is mostly credible and safely usable</x:v>
      </x:c>
      <x:c r="Q109" s="13" t="str">
        <x:v>5 — Leadership is credible, safely visible and strengthens funder confidence</x:v>
      </x:c>
      <x:c r="R109" s="13" t="str">
        <x:v>N/A — Not applicable / unsafe to answer</x:v>
      </x:c>
      <x:c r="S109" s="13" t="str">
        <x:v>Single choice score (1–5 + N/A)</x:v>
      </x:c>
      <x:c r="T109" s="13" t="str">
        <x:v>Relationship, leadership &amp; visibility; B3 Fit, Competitiveness &amp; Access; Conversation; Award/Renewal</x:v>
      </x:c>
      <x:c r="U109" s="13" t="str">
        <x:v>Framework gap-fill — missing dimension item added</x:v>
      </x:c>
    </x:row>
    <x:row r="110">
      <x:c r="A110" s="13" t="str">
        <x:v>R08.06</x:v>
      </x:c>
      <x:c r="B110" s="13" t="str">
        <x:v>109</x:v>
      </x:c>
      <x:c r="C110" s="13" t="str">
        <x:v>G109</x:v>
      </x:c>
      <x:c r="D110" s="13" t="str">
        <x:v>R08</x:v>
      </x:c>
      <x:c r="E110" s="13" t="str">
        <x:v>Application quality &amp; storytelling</x:v>
      </x:c>
      <x:c r="F110" s="13" t="str">
        <x:v>D16</x:v>
      </x:c>
      <x:c r="G110" s="13" t="str">
        <x:v>Proposal coherence and budget/story alignment</x:v>
      </x:c>
      <x:c r="H110" s="13" t="str">
        <x:v>B4 - Proposal, Proof, Trust &amp; Ethics</x:v>
      </x:c>
      <x:c r="I110" s="13" t="str"/>
      <x:c r="J110" s="13" t="str">
        <x:v>Before submission, someone reviews whether the proposal, budget, workplan, evidence and risk notes tell the same story.</x:v>
      </x:c>
      <x:c r="K110" s="13" t="str">
        <x:v>Reviewer readability and structure</x:v>
      </x:c>
      <x:c r="L110" s="13" t="str">
        <x:v>Checks whether application quality control catches incoherence before funders do.</x:v>
      </x:c>
      <x:c r="M110" s="13" t="str">
        <x:v>1 — No one checks the full package for coherence before submission</x:v>
      </x:c>
      <x:c r="N110" s="13" t="str">
        <x:v>2 — Review happens informally or only for writing quality</x:v>
      </x:c>
      <x:c r="O110" s="13" t="str">
        <x:v>3 — Some package review happens, but budget/evidence/risk gaps remain</x:v>
      </x:c>
      <x:c r="P110" s="13" t="str">
        <x:v>4 — Most submissions are reviewed for narrative, budget, workplan and evidence coherence</x:v>
      </x:c>
      <x:c r="Q110" s="13" t="str">
        <x:v>5 — Every priority submission is reviewed for full-package coherence before it is sent</x:v>
      </x:c>
      <x:c r="R110" s="13" t="str">
        <x:v>N/A — Not applicable / unsafe to answer</x:v>
      </x:c>
      <x:c r="S110" s="13" t="str">
        <x:v>Single choice score (1–5 + N/A)</x:v>
      </x:c>
      <x:c r="T110" s="13" t="str">
        <x:v>Application quality &amp; storytelling; B4 Proposal, Proof, Trust &amp; Ethics; Application Submitted; Proposal Review</x:v>
      </x:c>
      <x:c r="U110" s="13" t="str">
        <x:v>Framework gap-fill — missing dimension item added</x:v>
      </x:c>
    </x:row>
    <x:row r="111">
      <x:c r="A111" s="13" t="str">
        <x:v>R09.08</x:v>
      </x:c>
      <x:c r="B111" s="13" t="str">
        <x:v>110</x:v>
      </x:c>
      <x:c r="C111" s="13" t="str">
        <x:v>G110</x:v>
      </x:c>
      <x:c r="D111" s="13" t="str">
        <x:v>R09</x:v>
      </x:c>
      <x:c r="E111" s="13" t="str">
        <x:v>Coherence, evidence &amp; social proof</x:v>
      </x:c>
      <x:c r="F111" s="13" t="str">
        <x:v>D17</x:v>
      </x:c>
      <x:c r="G111" s="13" t="str">
        <x:v>Evidence readiness</x:v>
      </x:c>
      <x:c r="H111" s="13" t="str">
        <x:v>B4 - Proposal, Proof, Trust &amp; Ethics</x:v>
      </x:c>
      <x:c r="I111" s="13" t="str"/>
      <x:c r="J111" s="13" t="str">
        <x:v>We can produce a short evidence pack that proves the work happened without overwhelming the funder.</x:v>
      </x:c>
      <x:c r="K111" s="13" t="str">
        <x:v>Evidence integrity and consent posture</x:v>
      </x:c>
      <x:c r="L111" s="13" t="str">
        <x:v>Checks whether evidence is packaged for review, not just stored internally.</x:v>
      </x:c>
      <x:c r="M111" s="13" t="str">
        <x:v>1 — Evidence is scattered or too difficult to use in proposals</x:v>
      </x:c>
      <x:c r="N111" s="13" t="str">
        <x:v>2 — Evidence exists, but it is not packaged for funder review</x:v>
      </x:c>
      <x:c r="O111" s="13" t="str">
        <x:v>3 — Some evidence can be shared, but the pack is incomplete or heavy</x:v>
      </x:c>
      <x:c r="P111" s="13" t="str">
        <x:v>4 — A clear evidence pack is mostly ready with minor updates</x:v>
      </x:c>
      <x:c r="Q111" s="13" t="str">
        <x:v>5 — A concise, credible evidence pack is ready and matched to funder needs</x:v>
      </x:c>
      <x:c r="R111" s="13" t="str">
        <x:v>N/A — Not applicable / unsafe to answer</x:v>
      </x:c>
      <x:c r="S111" s="13" t="str">
        <x:v>Single choice score (1–5 + N/A)</x:v>
      </x:c>
      <x:c r="T111" s="13" t="str">
        <x:v>Coherence, evidence &amp; social proof; B4 Proposal, Proof, Trust &amp; Ethics; Proposal Review; Due Diligence</x:v>
      </x:c>
      <x:c r="U111" s="13" t="str">
        <x:v>Framework gap-fill — missing dimension item added</x:v>
      </x:c>
    </x:row>
    <x:row r="112">
      <x:c r="A112" s="13" t="str">
        <x:v>R09.09</x:v>
      </x:c>
      <x:c r="B112" s="13" t="str">
        <x:v>111</x:v>
      </x:c>
      <x:c r="C112" s="13" t="str">
        <x:v>G111</x:v>
      </x:c>
      <x:c r="D112" s="13" t="str">
        <x:v>R09</x:v>
      </x:c>
      <x:c r="E112" s="13" t="str">
        <x:v>Coherence, evidence &amp; social proof</x:v>
      </x:c>
      <x:c r="F112" s="13" t="str">
        <x:v>D18</x:v>
      </x:c>
      <x:c r="G112" s="13" t="str">
        <x:v>Social proof and references</x:v>
      </x:c>
      <x:c r="H112" s="13" t="str">
        <x:v>B4 - Proposal, Proof, Trust &amp; Ethics</x:v>
      </x:c>
      <x:c r="I112" s="13" t="str"/>
      <x:c r="J112" s="13" t="str">
        <x:v>We can provide references or social proof that confirm our reliability, delivery and community legitimacy.</x:v>
      </x:c>
      <x:c r="K112" s="13" t="str">
        <x:v>Proof pack navigation and retrieval</x:v>
      </x:c>
      <x:c r="L112" s="13" t="str">
        <x:v>Checks whether proof comes from credible external voices as well as internal claims.</x:v>
      </x:c>
      <x:c r="M112" s="13" t="str">
        <x:v>1 — We do not have credible references or social proof ready</x:v>
      </x:c>
      <x:c r="N112" s="13" t="str">
        <x:v>2 — Possible references exist, but they are not verified or prepared</x:v>
      </x:c>
      <x:c r="O112" s="13" t="str">
        <x:v>3 — Some references or proof are available, but not matched to funder needs</x:v>
      </x:c>
      <x:c r="P112" s="13" t="str">
        <x:v>4 — Most priority applications can be supported by credible references or social proof</x:v>
      </x:c>
      <x:c r="Q112" s="13" t="str">
        <x:v>5 — References, endorsements or social proof are verified, safe and ready for funder use</x:v>
      </x:c>
      <x:c r="R112" s="13" t="str">
        <x:v>N/A — Not applicable / unsafe to answer</x:v>
      </x:c>
      <x:c r="S112" s="13" t="str">
        <x:v>Single choice score (1–5 + N/A)</x:v>
      </x:c>
      <x:c r="T112" s="13" t="str">
        <x:v>Coherence, evidence &amp; social proof; B4 Proposal, Proof, Trust &amp; Ethics; Proposal Review; Due Diligence</x:v>
      </x:c>
      <x:c r="U112" s="13" t="str">
        <x:v>Framework gap-fill — missing dimension item added</x:v>
      </x:c>
    </x:row>
    <x:row r="113">
      <x:c r="A113" s="13" t="str">
        <x:v>R10.05</x:v>
      </x:c>
      <x:c r="B113" s="13" t="str">
        <x:v>112</x:v>
      </x:c>
      <x:c r="C113" s="13" t="str">
        <x:v>G112</x:v>
      </x:c>
      <x:c r="D113" s="13" t="str">
        <x:v>R10</x:v>
      </x:c>
      <x:c r="E113" s="13" t="str">
        <x:v>Safeguarding &amp; protected proof</x:v>
      </x:c>
      <x:c r="F113" s="13" t="str">
        <x:v>D19</x:v>
      </x:c>
      <x:c r="G113" s="13" t="str">
        <x:v>Safeguarding and ethics</x:v>
      </x:c>
      <x:c r="H113" s="13" t="str">
        <x:v>B4 - Proposal, Proof, Trust &amp; Ethics</x:v>
      </x:c>
      <x:c r="I113" s="13" t="str"/>
      <x:c r="J113" s="13" t="str">
        <x:v>We know which stories, photos, names, locations, or case details should never be shared publicly.</x:v>
      </x:c>
      <x:c r="K113" s="13" t="str">
        <x:v>Survivor or community safety checks</x:v>
      </x:c>
      <x:c r="L113" s="13" t="str">
        <x:v>Checks whether protected proof is treated as an ethical strength, not a gap.</x:v>
      </x:c>
      <x:c r="M113" s="13" t="str">
        <x:v>1 — Sensitive evidence is not clearly protected before proposal use</x:v>
      </x:c>
      <x:c r="N113" s="13" t="str">
        <x:v>2 — Protection relies on individual judgement rather than a shared rule</x:v>
      </x:c>
      <x:c r="O113" s="13" t="str">
        <x:v>3 — Some evidence is protected, but the rule is incomplete or inconsistent</x:v>
      </x:c>
      <x:c r="P113" s="13" t="str">
        <x:v>4 — Most sensitive evidence is protected with minor gaps</x:v>
      </x:c>
      <x:c r="Q113" s="13" t="str">
        <x:v>5 — Protected evidence rules are clear, consent-based and used before anything is shared</x:v>
      </x:c>
      <x:c r="R113" s="13" t="str">
        <x:v>N/A — Not applicable / unsafe to answer</x:v>
      </x:c>
      <x:c r="S113" s="13" t="str">
        <x:v>Single choice score (1–5 + N/A)</x:v>
      </x:c>
      <x:c r="T113" s="13" t="str">
        <x:v>Safeguarding &amp; protected proof; B4 Proposal, Proof, Trust &amp; Ethics; Proposal Review; Due Diligence</x:v>
      </x:c>
      <x:c r="U113" s="13" t="str">
        <x:v>Framework gap-fill — missing dimension item added</x:v>
      </x:c>
    </x:row>
    <x:row r="114">
      <x:c r="A114" s="13" t="str">
        <x:v>R10.06</x:v>
      </x:c>
      <x:c r="B114" s="13" t="str">
        <x:v>113</x:v>
      </x:c>
      <x:c r="C114" s="13" t="str">
        <x:v>G113</x:v>
      </x:c>
      <x:c r="D114" s="13" t="str">
        <x:v>R10</x:v>
      </x:c>
      <x:c r="E114" s="13" t="str">
        <x:v>Safeguarding &amp; protected proof</x:v>
      </x:c>
      <x:c r="F114" s="13" t="str">
        <x:v>D20</x:v>
      </x:c>
      <x:c r="G114" s="13" t="str">
        <x:v>Protected evidence protocol</x:v>
      </x:c>
      <x:c r="H114" s="13" t="str">
        <x:v>B4 - Proposal, Proof, Trust &amp; Ethics</x:v>
      </x:c>
      <x:c r="I114" s="13" t="str"/>
      <x:c r="J114" s="13" t="str">
        <x:v>We can use anonymised, aggregated, redacted, or verbal evidence where full public proof would create harm.</x:v>
      </x:c>
      <x:c r="K114" s="13" t="str">
        <x:v>Confidentiality and access controls</x:v>
      </x:c>
      <x:c r="L114" s="13" t="str">
        <x:v>Checks whether funder proof can be routed safely.</x:v>
      </x:c>
      <x:c r="M114" s="13" t="str">
        <x:v>1 — We do not have safe alternatives when full proof cannot be shared</x:v>
      </x:c>
      <x:c r="N114" s="13" t="str">
        <x:v>2 — Safe alternatives are improvised case by case</x:v>
      </x:c>
      <x:c r="O114" s="13" t="str">
        <x:v>3 — Some alternatives exist, but funder-ready formats need work</x:v>
      </x:c>
      <x:c r="P114" s="13" t="str">
        <x:v>4 — Safe proof alternatives are mostly ready and usable</x:v>
      </x:c>
      <x:c r="Q114" s="13" t="str">
        <x:v>5 — Anonymised, aggregated, redacted and verbal proof routes are ready and matched to funder needs</x:v>
      </x:c>
      <x:c r="R114" s="13" t="str">
        <x:v>N/A — Not applicable / unsafe to answer</x:v>
      </x:c>
      <x:c r="S114" s="13" t="str">
        <x:v>Single choice score (1–5 + N/A)</x:v>
      </x:c>
      <x:c r="T114" s="13" t="str">
        <x:v>Safeguarding &amp; protected proof; B4 Proposal, Proof, Trust &amp; Ethics; Proposal Review; Due Diligence</x:v>
      </x:c>
      <x:c r="U114" s="13" t="str">
        <x:v>Framework gap-fill — missing dimension item added</x:v>
      </x:c>
    </x:row>
    <x:row r="115">
      <x:c r="A115" s="13" t="str">
        <x:v>R10.07</x:v>
      </x:c>
      <x:c r="B115" s="13" t="str">
        <x:v>114</x:v>
      </x:c>
      <x:c r="C115" s="13" t="str">
        <x:v>G114</x:v>
      </x:c>
      <x:c r="D115" s="13" t="str">
        <x:v>R10</x:v>
      </x:c>
      <x:c r="E115" s="13" t="str">
        <x:v>Safeguarding &amp; protected proof</x:v>
      </x:c>
      <x:c r="F115" s="13" t="str">
        <x:v>D19</x:v>
      </x:c>
      <x:c r="G115" s="13" t="str">
        <x:v>Safeguarding and ethics</x:v>
      </x:c>
      <x:c r="H115" s="13" t="str">
        <x:v>B4 - Proposal, Proof, Trust &amp; Ethics</x:v>
      </x:c>
      <x:c r="I115" s="13" t="str"/>
      <x:c r="J115" s="13" t="str">
        <x:v>We can show that safeguarding, consent, complaints and duty-of-care practices are used, not just written.</x:v>
      </x:c>
      <x:c r="K115" s="13" t="str">
        <x:v>Safe story bank rules</x:v>
      </x:c>
      <x:c r="L115" s="13" t="str">
        <x:v>Checks whether ethics evidence survives due diligence.</x:v>
      </x:c>
      <x:c r="M115" s="13" t="str">
        <x:v>1 — Ethics and safeguarding practices are not evidenced</x:v>
      </x:c>
      <x:c r="N115" s="13" t="str">
        <x:v>2 — Policies or practices exist, but use is not documented</x:v>
      </x:c>
      <x:c r="O115" s="13" t="str">
        <x:v>3 — Some practice evidence exists, but it is incomplete or not funder-ready</x:v>
      </x:c>
      <x:c r="P115" s="13" t="str">
        <x:v>4 — Ethics and safeguarding practice evidence is mostly current and usable</x:v>
      </x:c>
      <x:c r="Q115" s="13" t="str">
        <x:v>5 — Practice evidence is current, safe, approved and ready for due diligence</x:v>
      </x:c>
      <x:c r="R115" s="13" t="str">
        <x:v>N/A — Not applicable / unsafe to answer</x:v>
      </x:c>
      <x:c r="S115" s="13" t="str">
        <x:v>Single choice score (1–5 + N/A)</x:v>
      </x:c>
      <x:c r="T115" s="13" t="str">
        <x:v>Safeguarding &amp; protected proof; B4 Proposal, Proof, Trust &amp; Ethics; Proposal Review; Due Diligence</x:v>
      </x:c>
      <x:c r="U115" s="13" t="str">
        <x:v>Framework gap-fill — missing dimension item added</x:v>
      </x:c>
    </x:row>
    <x:row r="116">
      <x:c r="A116" s="13" t="str">
        <x:v>R10.08</x:v>
      </x:c>
      <x:c r="B116" s="13" t="str">
        <x:v>115</x:v>
      </x:c>
      <x:c r="C116" s="13" t="str">
        <x:v>G115</x:v>
      </x:c>
      <x:c r="D116" s="13" t="str">
        <x:v>R10</x:v>
      </x:c>
      <x:c r="E116" s="13" t="str">
        <x:v>Safeguarding &amp; protected proof</x:v>
      </x:c>
      <x:c r="F116" s="13" t="str">
        <x:v>D20</x:v>
      </x:c>
      <x:c r="G116" s="13" t="str">
        <x:v>Protected evidence protocol</x:v>
      </x:c>
      <x:c r="H116" s="13" t="str">
        <x:v>B4 - Proposal, Proof, Trust &amp; Ethics</x:v>
      </x:c>
      <x:c r="I116" s="13" t="str"/>
      <x:c r="J116" s="13" t="str">
        <x:v>We know which funders are safe enough to receive sensitive evidence and which should only receive protected summaries.</x:v>
      </x:c>
      <x:c r="K116" s="13" t="str">
        <x:v>Funder evidence boundary-setting</x:v>
      </x:c>
      <x:c r="L116" s="13" t="str">
        <x:v>Checks whether evidence sharing is matched to funder trust and safety.</x:v>
      </x:c>
      <x:c r="M116" s="13" t="str">
        <x:v>1 — We do not differentiate evidence-sharing by funder safety</x:v>
      </x:c>
      <x:c r="N116" s="13" t="str">
        <x:v>2 — Evidence-sharing decisions are made informally or too late</x:v>
      </x:c>
      <x:c r="O116" s="13" t="str">
        <x:v>3 — Some funders are treated carefully, but the rule is not consistent</x:v>
      </x:c>
      <x:c r="P116" s="13" t="str">
        <x:v>4 — Evidence-sharing is mostly matched to funder trust and safety</x:v>
      </x:c>
      <x:c r="Q116" s="13" t="str">
        <x:v>5 — Evidence-sharing rules are clear by funder type, route and sensitivity level</x:v>
      </x:c>
      <x:c r="R116" s="13" t="str">
        <x:v>N/A — Not applicable / unsafe to answer</x:v>
      </x:c>
      <x:c r="S116" s="13" t="str">
        <x:v>Single choice score (1–5 + N/A)</x:v>
      </x:c>
      <x:c r="T116" s="13" t="str">
        <x:v>Safeguarding &amp; protected proof; B4 Proposal, Proof, Trust &amp; Ethics; Proposal Review; Due Diligence</x:v>
      </x:c>
      <x:c r="U116" s="13" t="str">
        <x:v>Framework gap-fill — missing dimension item added</x:v>
      </x:c>
    </x:row>
    <x:row r="117">
      <x:c r="A117" s="13" t="str">
        <x:v>R11.19</x:v>
      </x:c>
      <x:c r="B117" s="13" t="str">
        <x:v>116</x:v>
      </x:c>
      <x:c r="C117" s="13" t="str">
        <x:v>G116</x:v>
      </x:c>
      <x:c r="D117" s="13" t="str">
        <x:v>R11</x:v>
      </x:c>
      <x:c r="E117" s="13" t="str">
        <x:v>Due diligence, finance &amp; risk</x:v>
      </x:c>
      <x:c r="F117" s="13" t="str">
        <x:v>D21</x:v>
      </x:c>
      <x:c r="G117" s="13" t="str">
        <x:v>Governance and controls</x:v>
      </x:c>
      <x:c r="H117" s="13" t="str">
        <x:v>B5 - Due Diligence, Operations &amp; Financial Viability</x:v>
      </x:c>
      <x:c r="I117" s="13" t="str"/>
      <x:c r="J117" s="13" t="str">
        <x:v>We can produce a due-diligence pack within 48 hours without exposing unsafe information.</x:v>
      </x:c>
      <x:c r="K117" s="13" t="str">
        <x:v>Delivery tracking systems</x:v>
      </x:c>
      <x:c r="L117" s="13" t="str">
        <x:v>Checks whether document readiness and protection can support funder verification.</x:v>
      </x:c>
      <x:c r="M117" s="13" t="str">
        <x:v>1 — We could not produce a safe due-diligence pack within 48 hours</x:v>
      </x:c>
      <x:c r="N117" s="13" t="str">
        <x:v>2 — Some documents are available, but the pack would need urgent repair</x:v>
      </x:c>
      <x:c r="O117" s="13" t="str">
        <x:v>3 — A basic pack is possible, but gaps or safety questions remain</x:v>
      </x:c>
      <x:c r="P117" s="13" t="str">
        <x:v>4 — A due-diligence pack is mostly ready with minor updates</x:v>
      </x:c>
      <x:c r="Q117" s="13" t="str">
        <x:v>5 — A safe, current due-diligence pack can be produced within 48 hours</x:v>
      </x:c>
      <x:c r="R117" s="13" t="str">
        <x:v>N/A — Not applicable / unsafe to answer</x:v>
      </x:c>
      <x:c r="S117" s="13" t="str">
        <x:v>Single choice score (1–5 + N/A)</x:v>
      </x:c>
      <x:c r="T117" s="13" t="str">
        <x:v>Due diligence, finance &amp; risk; B5 Due Diligence, Operations &amp; Financial Viability; Due Diligence; Budget / Contract</x:v>
      </x:c>
      <x:c r="U117" s="13" t="str">
        <x:v>Framework gap-fill — missing dimension item added</x:v>
      </x:c>
    </x:row>
    <x:row r="118">
      <x:c r="A118" s="13" t="str">
        <x:v>R11.20</x:v>
      </x:c>
      <x:c r="B118" s="13" t="str">
        <x:v>117</x:v>
      </x:c>
      <x:c r="C118" s="13" t="str">
        <x:v>G117</x:v>
      </x:c>
      <x:c r="D118" s="13" t="str">
        <x:v>R11</x:v>
      </x:c>
      <x:c r="E118" s="13" t="str">
        <x:v>Due diligence, finance &amp; risk</x:v>
      </x:c>
      <x:c r="F118" s="13" t="str">
        <x:v>D22</x:v>
      </x:c>
      <x:c r="G118" s="13" t="str">
        <x:v>Finance and risk readiness</x:v>
      </x:c>
      <x:c r="H118" s="13" t="str">
        <x:v>B5 - Due Diligence, Operations &amp; Financial Viability</x:v>
      </x:c>
      <x:c r="I118" s="13" t="str"/>
      <x:c r="J118" s="13" t="str">
        <x:v>We can explain financial controls in plain language to a funder or due-diligence reviewer.</x:v>
      </x:c>
      <x:c r="K118" s="13" t="str">
        <x:v>Data security and document control</x:v>
      </x:c>
      <x:c r="L118" s="13" t="str">
        <x:v>Checks whether finance systems are not only present but understandable.</x:v>
      </x:c>
      <x:c r="M118" s="13" t="str">
        <x:v>1 — We cannot clearly explain how money is controlled and recorded</x:v>
      </x:c>
      <x:c r="N118" s="13" t="str">
        <x:v>2 — The explanation depends on one person or informal practice</x:v>
      </x:c>
      <x:c r="O118" s="13" t="str">
        <x:v>3 — We can explain parts of the system, but gaps remain</x:v>
      </x:c>
      <x:c r="P118" s="13" t="str">
        <x:v>4 — Finance controls can mostly be explained clearly with minor gaps</x:v>
      </x:c>
      <x:c r="Q118" s="13" t="str">
        <x:v>5 — Finance controls are clear, documented and easy to explain to reviewers</x:v>
      </x:c>
      <x:c r="R118" s="13" t="str">
        <x:v>N/A — Not applicable / unsafe to answer</x:v>
      </x:c>
      <x:c r="S118" s="13" t="str">
        <x:v>Single choice score (1–5 + N/A)</x:v>
      </x:c>
      <x:c r="T118" s="13" t="str">
        <x:v>Due diligence, finance &amp; risk; B5 Due Diligence, Operations &amp; Financial Viability; Due Diligence; Budget / Contract</x:v>
      </x:c>
      <x:c r="U118" s="13" t="str">
        <x:v>Framework gap-fill — missing dimension item added</x:v>
      </x:c>
    </x:row>
    <x:row r="119">
      <x:c r="A119" s="13" t="str">
        <x:v>R11.21</x:v>
      </x:c>
      <x:c r="B119" s="13" t="str">
        <x:v>118</x:v>
      </x:c>
      <x:c r="C119" s="13" t="str">
        <x:v>G118</x:v>
      </x:c>
      <x:c r="D119" s="13" t="str">
        <x:v>R11</x:v>
      </x:c>
      <x:c r="E119" s="13" t="str">
        <x:v>Due diligence, finance &amp; risk</x:v>
      </x:c>
      <x:c r="F119" s="13" t="str">
        <x:v>D22</x:v>
      </x:c>
      <x:c r="G119" s="13" t="str">
        <x:v>Finance and risk readiness</x:v>
      </x:c>
      <x:c r="H119" s="13" t="str">
        <x:v>B5 - Due Diligence, Operations &amp; Financial Viability</x:v>
      </x:c>
      <x:c r="I119" s="13" t="str"/>
      <x:c r="J119" s="13" t="str">
        <x:v>We know the largest financial, delivery, safeguarding, governance, or reputational risks a funder would test.</x:v>
      </x:c>
      <x:c r="K119" s="13" t="str">
        <x:v>Contracting and terms review readiness</x:v>
      </x:c>
      <x:c r="L119" s="13" t="str">
        <x:v>Checks whether risk is actively managed before due diligence.</x:v>
      </x:c>
      <x:c r="M119" s="13" t="str">
        <x:v>1 — We do not know what a funder would see as the main risks</x:v>
      </x:c>
      <x:c r="N119" s="13" t="str">
        <x:v>2 — Risks are known informally but not assessed against funder review</x:v>
      </x:c>
      <x:c r="O119" s="13" t="str">
        <x:v>3 — Some risks are identified, but mitigation is incomplete</x:v>
      </x:c>
      <x:c r="P119" s="13" t="str">
        <x:v>4 — Most funder-facing risks are identified with mitigation plans</x:v>
      </x:c>
      <x:c r="Q119" s="13" t="str">
        <x:v>5 — Funder-facing risks are identified, mitigated and ready to explain</x:v>
      </x:c>
      <x:c r="R119" s="13" t="str">
        <x:v>N/A — Not applicable / unsafe to answer</x:v>
      </x:c>
      <x:c r="S119" s="13" t="str">
        <x:v>Single choice score (1–5 + N/A)</x:v>
      </x:c>
      <x:c r="T119" s="13" t="str">
        <x:v>Due diligence, finance &amp; risk; B5 Due Diligence, Operations &amp; Financial Viability; Due Diligence; Budget / Contract</x:v>
      </x:c>
      <x:c r="U119" s="13" t="str">
        <x:v>Framework gap-fill — missing dimension item added</x:v>
      </x:c>
    </x:row>
    <x:row r="120">
      <x:c r="A120" s="13" t="str">
        <x:v>R11.22</x:v>
      </x:c>
      <x:c r="B120" s="13" t="str">
        <x:v>119</x:v>
      </x:c>
      <x:c r="C120" s="13" t="str">
        <x:v>G119</x:v>
      </x:c>
      <x:c r="D120" s="13" t="str">
        <x:v>R11</x:v>
      </x:c>
      <x:c r="E120" s="13" t="str">
        <x:v>Due diligence, finance &amp; risk</x:v>
      </x:c>
      <x:c r="F120" s="13" t="str">
        <x:v>D21</x:v>
      </x:c>
      <x:c r="G120" s="13" t="str">
        <x:v>Governance and controls</x:v>
      </x:c>
      <x:c r="H120" s="13" t="str">
        <x:v>B5 - Due Diligence, Operations &amp; Financial Viability</x:v>
      </x:c>
      <x:c r="I120" s="13" t="str"/>
      <x:c r="J120" s="13" t="str">
        <x:v>If a funder spot-checked transactions, approvals, reports or delivery records, the evidence would match the story told in the proposal.</x:v>
      </x:c>
      <x:c r="K120" s="13" t="str">
        <x:v>Insurance, asset or equipment controls</x:v>
      </x:c>
      <x:c r="L120" s="13" t="str">
        <x:v>Checks whether records and claims align under verification.</x:v>
      </x:c>
      <x:c r="M120" s="13" t="str">
        <x:v>1 — Records would not reliably match proposal claims or reports</x:v>
      </x:c>
      <x:c r="N120" s="13" t="str">
        <x:v>2 — Records might match, but they are incomplete, scattered or hard to verify</x:v>
      </x:c>
      <x:c r="O120" s="13" t="str">
        <x:v>3 — Some records match, but gaps would need explanation</x:v>
      </x:c>
      <x:c r="P120" s="13" t="str">
        <x:v>4 — Records would mostly match with minor repairs</x:v>
      </x:c>
      <x:c r="Q120" s="13" t="str">
        <x:v>5 — Records, approvals, reports and delivery evidence are aligned and ready for spot-checking</x:v>
      </x:c>
      <x:c r="R120" s="13" t="str">
        <x:v>N/A — Not applicable / unsafe to answer</x:v>
      </x:c>
      <x:c r="S120" s="13" t="str">
        <x:v>Single choice score (1–5 + N/A)</x:v>
      </x:c>
      <x:c r="T120" s="13" t="str">
        <x:v>Due diligence, finance &amp; risk; B5 Due Diligence, Operations &amp; Financial Viability; Due Diligence; Budget / Contract</x:v>
      </x:c>
      <x:c r="U120" s="13" t="str">
        <x:v>Framework gap-fill — missing dimension item added</x:v>
      </x:c>
    </x:row>
    <x:row r="121">
      <x:c r="A121" s="13" t="str">
        <x:v>R12.04</x:v>
      </x:c>
      <x:c r="B121" s="13" t="str">
        <x:v>120</x:v>
      </x:c>
      <x:c r="C121" s="13" t="str">
        <x:v>G120</x:v>
      </x:c>
      <x:c r="D121" s="13" t="str">
        <x:v>R12</x:v>
      </x:c>
      <x:c r="E121" s="13" t="str">
        <x:v>Grant management &amp; sustainability</x:v>
      </x:c>
      <x:c r="F121" s="13" t="str">
        <x:v>D23</x:v>
      </x:c>
      <x:c r="G121" s="13" t="str">
        <x:v>Grant management and renewal</x:v>
      </x:c>
      <x:c r="H121" s="13" t="str">
        <x:v>B6 - Post-Award, Renewal &amp; Adaptability</x:v>
      </x:c>
      <x:c r="I121" s="13" t="str"/>
      <x:c r="J121" s="13" t="str">
        <x:v>We track grant restrictions, spending, reporting deadlines, renewal moments and relationship follow-up in one place.</x:v>
      </x:c>
      <x:c r="K121" s="13" t="str">
        <x:v>Sustain / grow / pause / end scenario planning</x:v>
      </x:c>
      <x:c r="L121" s="13" t="str">
        <x:v>Checks whether grant management supports renewal and trust.</x:v>
      </x:c>
      <x:c r="M121" s="13" t="str">
        <x:v>1 — Grant restrictions, spending, deadlines and follow-up are not tracked together</x:v>
      </x:c>
      <x:c r="N121" s="13" t="str">
        <x:v>2 — Tracking exists in scattered files or individual memory</x:v>
      </x:c>
      <x:c r="O121" s="13" t="str">
        <x:v>3 — Some grant management tracking exists, but important gaps remain</x:v>
      </x:c>
      <x:c r="P121" s="13" t="str">
        <x:v>4 — Most grant management information is tracked together with minor gaps</x:v>
      </x:c>
      <x:c r="Q121" s="13" t="str">
        <x:v>5 — Grant restrictions, spending, reporting, renewal and relationship follow-up are tracked live in one place</x:v>
      </x:c>
      <x:c r="R121" s="13" t="str">
        <x:v>N/A — Not applicable / unsafe to answer</x:v>
      </x:c>
      <x:c r="S121" s="13" t="str">
        <x:v>Single choice score (1–5 + N/A)</x:v>
      </x:c>
      <x:c r="T121" s="13" t="str">
        <x:v>Grant management &amp; sustainability; B6 Post-Award, Renewal &amp; Adaptability; Award / Renewal</x:v>
      </x:c>
      <x:c r="U121" s="13" t="str">
        <x:v>Framework gap-fill — missing dimension item added</x:v>
      </x:c>
    </x:row>
    <x:row r="122">
      <x:c r="A122" s="13" t="str">
        <x:v>R12.05</x:v>
      </x:c>
      <x:c r="B122" s="13" t="str">
        <x:v>121</x:v>
      </x:c>
      <x:c r="C122" s="13" t="str">
        <x:v>G121</x:v>
      </x:c>
      <x:c r="D122" s="13" t="str">
        <x:v>R12</x:v>
      </x:c>
      <x:c r="E122" s="13" t="str">
        <x:v>Grant management &amp; sustainability</x:v>
      </x:c>
      <x:c r="F122" s="13" t="str">
        <x:v>D24</x:v>
      </x:c>
      <x:c r="G122" s="13" t="str">
        <x:v>Sustainability and adaptive capacity</x:v>
      </x:c>
      <x:c r="H122" s="13" t="str">
        <x:v>B6 - Post-Award, Renewal &amp; Adaptability</x:v>
      </x:c>
      <x:c r="I122" s="13" t="str"/>
      <x:c r="J122" s="13" t="str">
        <x:v>We have a realistic plan to reduce dependency on one funder, one route, one person, or one short grant cycle.</x:v>
      </x:c>
      <x:c r="K122" s="13" t="str">
        <x:v>Key-person dependency and continuity planning</x:v>
      </x:c>
      <x:c r="L122" s="13" t="str">
        <x:v>Checks whether sustainability risk is known and actively managed.</x:v>
      </x:c>
      <x:c r="M122" s="13" t="str">
        <x:v>1 — Dependency risk is high and not actively managed</x:v>
      </x:c>
      <x:c r="N122" s="13" t="str">
        <x:v>2 — Dependency risk is recognised but not yet translated into a plan</x:v>
      </x:c>
      <x:c r="O122" s="13" t="str">
        <x:v>3 — A plan exists, but it is incomplete or not being used consistently</x:v>
      </x:c>
      <x:c r="P122" s="13" t="str">
        <x:v>4 — Dependency risk is mostly managed through a practical plan</x:v>
      </x:c>
      <x:c r="Q122" s="13" t="str">
        <x:v>5 — Dependency on one funder, route, person or short cycle is actively reduced through a realistic plan</x:v>
      </x:c>
      <x:c r="R122" s="13" t="str">
        <x:v>N/A — Not applicable / unsafe to answer</x:v>
      </x:c>
      <x:c r="S122" s="13" t="str">
        <x:v>Single choice score (1–5 + N/A)</x:v>
      </x:c>
      <x:c r="T122" s="13" t="str">
        <x:v>Grant management &amp; sustainability; B6 Post-Award, Renewal &amp; Adaptability; Award / Renewal</x:v>
      </x:c>
      <x:c r="U122" s="13" t="str">
        <x:v>Framework gap-fill — missing dimension item added</x:v>
      </x:c>
    </x:row>
  </x:sheetData>
  <x:pageMargins left="0.7" right="0.7" top="0.75" bottom="0.75" header="0.3" footer="0.3"/>
  <x:tableParts count="1">
    <x:tablePart xmlns:r="http://schemas.openxmlformats.org/officeDocument/2006/relationships" r:id="R2ed3f3f9c0d4415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2" hidden="0" customWidth="1"/>
    <x:col min="13" max="13" width="18" hidden="0" customWidth="1"/>
    <x:col min="14" max="14" width="34" hidden="0" customWidth="1"/>
  </x:cols>
  <x:sheetData>
    <x:row r="1">
      <x:c r="A1" s="12" t="str">
        <x:v>qid</x:v>
      </x:c>
      <x:c r="B1" s="12" t="str">
        <x:v>old_original_code</x:v>
      </x:c>
      <x:c r="C1" s="12" t="str">
        <x:v>previous_lss_code</x:v>
      </x:c>
      <x:c r="D1" s="12" t="str">
        <x:v>locked_lss_code</x:v>
      </x:c>
      <x:c r="E1" s="12" t="str">
        <x:v>previous_driver_code</x:v>
      </x:c>
      <x:c r="F1" s="12" t="str">
        <x:v>locked_driver_code</x:v>
      </x:c>
      <x:c r="G1" s="12" t="str">
        <x:v>locked_driver_name</x:v>
      </x:c>
      <x:c r="H1" s="12" t="str">
        <x:v>previous_variable</x:v>
      </x:c>
      <x:c r="I1" s="12" t="str">
        <x:v>locked_variable</x:v>
      </x:c>
      <x:c r="J1" s="12" t="str">
        <x:v>previous_result_area</x:v>
      </x:c>
      <x:c r="K1" s="12" t="str">
        <x:v>locked_result_area</x:v>
      </x:c>
      <x:c r="L1" s="12" t="str">
        <x:v>locked_stage_relevance</x:v>
      </x:c>
      <x:c r="M1" s="12" t="str">
        <x:v>locked_group_id</x:v>
      </x:c>
      <x:c r="N1" s="12" t="str">
        <x:v>handling_rule</x:v>
      </x:c>
    </x:row>
    <x:row r="2">
      <x:c r="A2" s="13" t="str">
        <x:v>225</x:v>
      </x:c>
      <x:c r="B2" s="13" t="str">
        <x:v>OP_01</x:v>
      </x:c>
      <x:c r="C2" s="13" t="str">
        <x:v>SETUP_ORG_NAME</x:v>
      </x:c>
      <x:c r="D2" s="13" t="str">
        <x:v>SETUP_ORG_NAME</x:v>
      </x:c>
      <x:c r="E2" s="13" t="str">
        <x:v>SETUP</x:v>
      </x:c>
      <x:c r="F2" s="13" t="str">
        <x:v>SETUP</x:v>
      </x:c>
      <x:c r="G2" s="13" t="str">
        <x:v>Report setup</x:v>
      </x:c>
      <x:c r="H2" s="13" t="str">
        <x:v>SETUP</x:v>
      </x:c>
      <x:c r="I2" s="13" t="str">
        <x:v>SETUP</x:v>
      </x:c>
      <x:c r="J2" s="13" t="str">
        <x:v>Report setup</x:v>
      </x:c>
      <x:c r="K2" s="13" t="str">
        <x:v>Report setup</x:v>
      </x:c>
      <x:c r="L2" s="13" t="str">
        <x:v>Report setup</x:v>
      </x:c>
      <x:c r="M2" s="13" t="str">
        <x:v>100</x:v>
      </x:c>
      <x:c r="N2" s="13" t="str">
        <x:v>profile_or_context_signal; use for report personalisation and interpretation</x:v>
      </x:c>
    </x:row>
    <x:row r="3">
      <x:c r="A3" s="13" t="str">
        <x:v>229</x:v>
      </x:c>
      <x:c r="B3" s="13" t="str">
        <x:v>OP_05</x:v>
      </x:c>
      <x:c r="C3" s="13" t="str">
        <x:v>R02_D03_Q01</x:v>
      </x:c>
      <x:c r="D3" s="13" t="str">
        <x:v>R01_D02_Q01</x:v>
      </x:c>
      <x:c r="E3" s="13" t="str">
        <x:v>D03</x:v>
      </x:c>
      <x:c r="F3" s="13" t="str">
        <x:v>D02</x:v>
      </x:c>
      <x:c r="G3" s="13" t="str">
        <x:v>Legal and receiving route</x:v>
      </x:c>
      <x:c r="H3" s="13" t="str">
        <x:v>R02</x:v>
      </x:c>
      <x:c r="I3" s="13" t="str">
        <x:v>R01</x:v>
      </x:c>
      <x:c r="J3" s="13" t="str">
        <x:v>Legal Readiness</x:v>
      </x:c>
      <x:c r="K3" s="13" t="str">
        <x:v>Context, legal route &amp; compliance</x:v>
      </x:c>
      <x:c r="L3" s="13" t="str">
        <x:v>2 Eligibility Checked; 6 Due Diligence</x:v>
      </x:c>
      <x:c r="M3" s="13" t="str">
        <x:v>101</x:v>
      </x:c>
      <x:c r="N3" s="13" t="str">
        <x:v>profile_or_context_signal; use for report personalisation and interpretation</x:v>
      </x:c>
    </x:row>
    <x:row r="4">
      <x:c r="A4" s="13" t="str">
        <x:v>230</x:v>
      </x:c>
      <x:c r="B4" s="13" t="str">
        <x:v>OP_06</x:v>
      </x:c>
      <x:c r="C4" s="13" t="str">
        <x:v>R01_D01_Q01</x:v>
      </x:c>
      <x:c r="D4" s="13" t="str">
        <x:v>R01_D01_Q01</x:v>
      </x:c>
      <x:c r="E4" s="13" t="str">
        <x:v>D01</x:v>
      </x:c>
      <x:c r="F4" s="13" t="str">
        <x:v>D01</x:v>
      </x:c>
      <x:c r="G4" s="13" t="str">
        <x:v>Operating context and safety</x:v>
      </x:c>
      <x:c r="H4" s="13" t="str">
        <x:v>R01</x:v>
      </x:c>
      <x:c r="I4" s="13" t="str">
        <x:v>R01</x:v>
      </x:c>
      <x:c r="J4" s="13" t="str">
        <x:v>Context &amp; Safety</x:v>
      </x:c>
      <x:c r="K4" s="13" t="str">
        <x:v>Context, legal route &amp; compliance</x:v>
      </x:c>
      <x:c r="L4" s="13" t="str">
        <x:v>6 Due Diligence</x:v>
      </x:c>
      <x:c r="M4" s="13" t="str">
        <x:v>101</x:v>
      </x:c>
      <x:c r="N4" s="13" t="str">
        <x:v>profile_or_context_signal; use for report personalisation and interpretation</x:v>
      </x:c>
    </x:row>
    <x:row r="5">
      <x:c r="A5" s="13" t="str">
        <x:v>232</x:v>
      </x:c>
      <x:c r="B5" s="13" t="str">
        <x:v>OP_08</x:v>
      </x:c>
      <x:c r="C5" s="13" t="str">
        <x:v>R02_D03_Q02</x:v>
      </x:c>
      <x:c r="D5" s="13" t="str">
        <x:v>R01_D02_Q02</x:v>
      </x:c>
      <x:c r="E5" s="13" t="str">
        <x:v>D03</x:v>
      </x:c>
      <x:c r="F5" s="13" t="str">
        <x:v>D02</x:v>
      </x:c>
      <x:c r="G5" s="13" t="str">
        <x:v>Legal and receiving route</x:v>
      </x:c>
      <x:c r="H5" s="13" t="str">
        <x:v>R02</x:v>
      </x:c>
      <x:c r="I5" s="13" t="str">
        <x:v>R01</x:v>
      </x:c>
      <x:c r="J5" s="13" t="str">
        <x:v>Legal Readiness</x:v>
      </x:c>
      <x:c r="K5" s="13" t="str">
        <x:v>Context, legal route &amp; compliance</x:v>
      </x:c>
      <x:c r="L5" s="13" t="str">
        <x:v>2 Eligibility Checked; 6 Due Diligence</x:v>
      </x:c>
      <x:c r="M5" s="13" t="str">
        <x:v>101</x:v>
      </x:c>
      <x:c r="N5" s="13" t="str">
        <x:v>profile_or_context_signal; use for report personalisation and interpretation</x:v>
      </x:c>
    </x:row>
    <x:row r="6">
      <x:c r="A6" s="13" t="str">
        <x:v>233</x:v>
      </x:c>
      <x:c r="B6" s="13" t="str">
        <x:v>OP_09</x:v>
      </x:c>
      <x:c r="C6" s="13" t="str">
        <x:v>R02_D03_Q03</x:v>
      </x:c>
      <x:c r="D6" s="13" t="str">
        <x:v>R01_D02_Q03</x:v>
      </x:c>
      <x:c r="E6" s="13" t="str">
        <x:v>D03</x:v>
      </x:c>
      <x:c r="F6" s="13" t="str">
        <x:v>D02</x:v>
      </x:c>
      <x:c r="G6" s="13" t="str">
        <x:v>Legal and receiving route</x:v>
      </x:c>
      <x:c r="H6" s="13" t="str">
        <x:v>R02</x:v>
      </x:c>
      <x:c r="I6" s="13" t="str">
        <x:v>R01</x:v>
      </x:c>
      <x:c r="J6" s="13" t="str">
        <x:v>Legal Readiness</x:v>
      </x:c>
      <x:c r="K6" s="13" t="str">
        <x:v>Context, legal route &amp; compliance</x:v>
      </x:c>
      <x:c r="L6" s="13" t="str">
        <x:v>2 Eligibility Checked; 6 Due Diligence</x:v>
      </x:c>
      <x:c r="M6" s="13" t="str">
        <x:v>101</x:v>
      </x:c>
      <x:c r="N6" s="13" t="str">
        <x:v>profile_or_context_signal; use for report personalisation and interpretation</x:v>
      </x:c>
    </x:row>
    <x:row r="7">
      <x:c r="A7" s="13" t="str">
        <x:v>234</x:v>
      </x:c>
      <x:c r="B7" s="13" t="str">
        <x:v>OP_10</x:v>
      </x:c>
      <x:c r="C7" s="13" t="str">
        <x:v>R02_D03_Q04</x:v>
      </x:c>
      <x:c r="D7" s="13" t="str">
        <x:v>R01_D02_Q04</x:v>
      </x:c>
      <x:c r="E7" s="13" t="str">
        <x:v>D03</x:v>
      </x:c>
      <x:c r="F7" s="13" t="str">
        <x:v>D02</x:v>
      </x:c>
      <x:c r="G7" s="13" t="str">
        <x:v>Legal and receiving route</x:v>
      </x:c>
      <x:c r="H7" s="13" t="str">
        <x:v>R02</x:v>
      </x:c>
      <x:c r="I7" s="13" t="str">
        <x:v>R01</x:v>
      </x:c>
      <x:c r="J7" s="13" t="str">
        <x:v>Legal Readiness</x:v>
      </x:c>
      <x:c r="K7" s="13" t="str">
        <x:v>Context, legal route &amp; compliance</x:v>
      </x:c>
      <x:c r="L7" s="13" t="str">
        <x:v>2 Eligibility Checked; 6 Due Diligence</x:v>
      </x:c>
      <x:c r="M7" s="13" t="str">
        <x:v>101</x:v>
      </x:c>
      <x:c r="N7" s="13" t="str">
        <x:v>profile_or_context_signal; use for report personalisation and interpretation</x:v>
      </x:c>
    </x:row>
    <x:row r="8">
      <x:c r="A8" s="13" t="str">
        <x:v>235</x:v>
      </x:c>
      <x:c r="B8" s="13" t="str">
        <x:v>OP_11</x:v>
      </x:c>
      <x:c r="C8" s="13" t="str">
        <x:v>R02_D04_Q01</x:v>
      </x:c>
      <x:c r="D8" s="13" t="str">
        <x:v>R01_D02_Q05</x:v>
      </x:c>
      <x:c r="E8" s="13" t="str">
        <x:v>D04</x:v>
      </x:c>
      <x:c r="F8" s="13" t="str">
        <x:v>D02</x:v>
      </x:c>
      <x:c r="G8" s="13" t="str">
        <x:v>Legal and receiving route</x:v>
      </x:c>
      <x:c r="H8" s="13" t="str">
        <x:v>R02</x:v>
      </x:c>
      <x:c r="I8" s="13" t="str">
        <x:v>R01</x:v>
      </x:c>
      <x:c r="J8" s="13" t="str">
        <x:v>Legal Readiness</x:v>
      </x:c>
      <x:c r="K8" s="13" t="str">
        <x:v>Context, legal route &amp; compliance</x:v>
      </x:c>
      <x:c r="L8" s="13" t="str">
        <x:v>2 Eligibility Checked; 6 Due Diligence</x:v>
      </x:c>
      <x:c r="M8" s="13" t="str">
        <x:v>101</x:v>
      </x:c>
      <x:c r="N8" s="13" t="str">
        <x:v>multiple_selection; selected options feed report meaning and flags; do not average blindly</x:v>
      </x:c>
    </x:row>
    <x:row r="9">
      <x:c r="A9" s="13" t="str">
        <x:v>236</x:v>
      </x:c>
      <x:c r="B9" s="13" t="str">
        <x:v>OP_12</x:v>
      </x:c>
      <x:c r="C9" s="13" t="str">
        <x:v>R02_D04_Q02</x:v>
      </x:c>
      <x:c r="D9" s="13" t="str">
        <x:v>R01_D02_Q06</x:v>
      </x:c>
      <x:c r="E9" s="13" t="str">
        <x:v>D04</x:v>
      </x:c>
      <x:c r="F9" s="13" t="str">
        <x:v>D02</x:v>
      </x:c>
      <x:c r="G9" s="13" t="str">
        <x:v>Legal and receiving route</x:v>
      </x:c>
      <x:c r="H9" s="13" t="str">
        <x:v>R02</x:v>
      </x:c>
      <x:c r="I9" s="13" t="str">
        <x:v>R01</x:v>
      </x:c>
      <x:c r="J9" s="13" t="str">
        <x:v>Legal Readiness</x:v>
      </x:c>
      <x:c r="K9" s="13" t="str">
        <x:v>Context, legal route &amp; compliance</x:v>
      </x:c>
      <x:c r="L9" s="13" t="str">
        <x:v>2 Eligibility Checked; 6 Due Diligence</x:v>
      </x:c>
      <x:c r="M9" s="13" t="str">
        <x:v>101</x:v>
      </x:c>
      <x:c r="N9" s="13" t="str">
        <x:v>multiple_selection; selected options feed report meaning and flags; do not average blindly</x:v>
      </x:c>
    </x:row>
    <x:row r="10">
      <x:c r="A10" s="13" t="str">
        <x:v>242</x:v>
      </x:c>
      <x:c r="B10" s="13" t="str">
        <x:v>OP_18</x:v>
      </x:c>
      <x:c r="C10" s="13" t="str">
        <x:v>R11_D22_Q01</x:v>
      </x:c>
      <x:c r="D10" s="13" t="str">
        <x:v>R11_D22_Q01</x:v>
      </x:c>
      <x:c r="E10" s="13" t="str">
        <x:v>D22</x:v>
      </x:c>
      <x:c r="F10" s="13" t="str">
        <x:v>D22</x:v>
      </x:c>
      <x:c r="G10" s="13" t="str">
        <x:v>Finance and risk readiness</x:v>
      </x:c>
      <x:c r="H10" s="13" t="str">
        <x:v>R11</x:v>
      </x:c>
      <x:c r="I10" s="13" t="str">
        <x:v>R11</x:v>
      </x:c>
      <x:c r="J10" s="13" t="str">
        <x:v>Governance &amp; Ops</x:v>
      </x:c>
      <x:c r="K10" s="13" t="str">
        <x:v>Due diligence, finance &amp; risk</x:v>
      </x:c>
      <x:c r="L10" s="13" t="str">
        <x:v>6 Due Diligence; 7 Budget / Contract</x:v>
      </x:c>
      <x:c r="M10" s="13" t="str">
        <x:v>111</x:v>
      </x:c>
      <x:c r="N10" s="13" t="str">
        <x:v>profile_or_context_signal; use for report personalisation and interpretation</x:v>
      </x:c>
    </x:row>
    <x:row r="11">
      <x:c r="A11" s="13" t="str">
        <x:v>244</x:v>
      </x:c>
      <x:c r="B11" s="13" t="str">
        <x:v>OP_20</x:v>
      </x:c>
      <x:c r="C11" s="13" t="str">
        <x:v>R12_D23_Q01</x:v>
      </x:c>
      <x:c r="D11" s="13" t="str">
        <x:v>R12_D24_Q01</x:v>
      </x:c>
      <x:c r="E11" s="13" t="str">
        <x:v>D23</x:v>
      </x:c>
      <x:c r="F11" s="13" t="str">
        <x:v>D24</x:v>
      </x:c>
      <x:c r="G11" s="13" t="str">
        <x:v>Sustainability and adaptive capacity</x:v>
      </x:c>
      <x:c r="H11" s="13" t="str">
        <x:v>R12</x:v>
      </x:c>
      <x:c r="I11" s="13" t="str">
        <x:v>R12</x:v>
      </x:c>
      <x:c r="J11" s="13" t="str">
        <x:v>Financial Health</x:v>
      </x:c>
      <x:c r="K11" s="13" t="str">
        <x:v>Grant management &amp; sustainability</x:v>
      </x:c>
      <x:c r="L11" s="13" t="str">
        <x:v>7 Budget / Contract; 8 Award / Renewal</x:v>
      </x:c>
      <x:c r="M11" s="13" t="str">
        <x:v>112</x:v>
      </x:c>
      <x:c r="N11" s="13" t="str">
        <x:v>profile_or_context_signal; use for report personalisation and interpretation</x:v>
      </x:c>
    </x:row>
    <x:row r="12">
      <x:c r="A12" s="13" t="str">
        <x:v>231</x:v>
      </x:c>
      <x:c r="B12" s="13" t="str">
        <x:v>OP_07</x:v>
      </x:c>
      <x:c r="C12" s="13" t="str">
        <x:v>R01_D01_Q02</x:v>
      </x:c>
      <x:c r="D12" s="13" t="str">
        <x:v>R01_D01_Q02</x:v>
      </x:c>
      <x:c r="E12" s="13" t="str">
        <x:v>D01</x:v>
      </x:c>
      <x:c r="F12" s="13" t="str">
        <x:v>D01</x:v>
      </x:c>
      <x:c r="G12" s="13" t="str">
        <x:v>Operating context and safety</x:v>
      </x:c>
      <x:c r="H12" s="13" t="str">
        <x:v>R01</x:v>
      </x:c>
      <x:c r="I12" s="13" t="str">
        <x:v>R01</x:v>
      </x:c>
      <x:c r="J12" s="13" t="str">
        <x:v>Context &amp; Safety</x:v>
      </x:c>
      <x:c r="K12" s="13" t="str">
        <x:v>Context, legal route &amp; compliance</x:v>
      </x:c>
      <x:c r="L12" s="13" t="str">
        <x:v>6 Due Diligence</x:v>
      </x:c>
      <x:c r="M12" s="13" t="str">
        <x:v>101</x:v>
      </x:c>
      <x:c r="N12" s="13" t="str">
        <x:v>multiple_selection; selected options feed report meaning and flags; do not average blindly</x:v>
      </x:c>
    </x:row>
    <x:row r="13">
      <x:c r="A13" s="13" t="str">
        <x:v>237</x:v>
      </x:c>
      <x:c r="B13" s="13" t="str">
        <x:v>OP_13</x:v>
      </x:c>
      <x:c r="C13" s="13" t="str">
        <x:v>R01_D01_Q03</x:v>
      </x:c>
      <x:c r="D13" s="13" t="str">
        <x:v>R01_D01_Q03</x:v>
      </x:c>
      <x:c r="E13" s="13" t="str">
        <x:v>D01</x:v>
      </x:c>
      <x:c r="F13" s="13" t="str">
        <x:v>D01</x:v>
      </x:c>
      <x:c r="G13" s="13" t="str">
        <x:v>Operating context and safety</x:v>
      </x:c>
      <x:c r="H13" s="13" t="str">
        <x:v>R01</x:v>
      </x:c>
      <x:c r="I13" s="13" t="str">
        <x:v>R01</x:v>
      </x:c>
      <x:c r="J13" s="13" t="str">
        <x:v>Context &amp; Safety</x:v>
      </x:c>
      <x:c r="K13" s="13" t="str">
        <x:v>Context, legal route &amp; compliance</x:v>
      </x:c>
      <x:c r="L13" s="13" t="str">
        <x:v>6 Due Diligence</x:v>
      </x:c>
      <x:c r="M13" s="13" t="str">
        <x:v>101</x:v>
      </x:c>
      <x:c r="N13" s="13" t="str">
        <x:v>multiple_selection; selected options feed report meaning and flags; do not average blindly</x:v>
      </x:c>
    </x:row>
    <x:row r="14">
      <x:c r="A14" s="13" t="str">
        <x:v>238</x:v>
      </x:c>
      <x:c r="B14" s="13" t="str">
        <x:v>OP_14</x:v>
      </x:c>
      <x:c r="C14" s="13" t="str">
        <x:v>R05_D09_Q01</x:v>
      </x:c>
      <x:c r="D14" s="13" t="str">
        <x:v>R04_D07_Q01</x:v>
      </x:c>
      <x:c r="E14" s="13" t="str">
        <x:v>D09</x:v>
      </x:c>
      <x:c r="F14" s="13" t="str">
        <x:v>D07</x:v>
      </x:c>
      <x:c r="G14" s="13" t="str">
        <x:v>Mandate and eligibility fit</x:v>
      </x:c>
      <x:c r="H14" s="13" t="str">
        <x:v>R05</x:v>
      </x:c>
      <x:c r="I14" s="13" t="str">
        <x:v>R04</x:v>
      </x:c>
      <x:c r="J14" s="13" t="str">
        <x:v>Funder Fit</x:v>
      </x:c>
      <x:c r="K14" s="13" t="str">
        <x:v>Funder fit &amp; work design</x:v>
      </x:c>
      <x:c r="L14" s="13" t="str">
        <x:v>2 Eligibility Checked; 4 Proposal Review</x:v>
      </x:c>
      <x:c r="M14" s="13" t="str">
        <x:v>104</x:v>
      </x:c>
      <x:c r="N14" s="13" t="str">
        <x:v>multiple_selection; selected options feed report meaning and flags; do not average blindly</x:v>
      </x:c>
    </x:row>
    <x:row r="15">
      <x:c r="A15" s="13" t="str">
        <x:v>239</x:v>
      </x:c>
      <x:c r="B15" s="13" t="str">
        <x:v>OP_15</x:v>
      </x:c>
      <x:c r="C15" s="13" t="str">
        <x:v>R05_D10_Q01</x:v>
      </x:c>
      <x:c r="D15" s="13" t="str">
        <x:v>R04_D08_Q01</x:v>
      </x:c>
      <x:c r="E15" s="13" t="str">
        <x:v>D10</x:v>
      </x:c>
      <x:c r="F15" s="13" t="str">
        <x:v>D08</x:v>
      </x:c>
      <x:c r="G15" s="13" t="str">
        <x:v>Work design and grant-size fit</x:v>
      </x:c>
      <x:c r="H15" s="13" t="str">
        <x:v>R05</x:v>
      </x:c>
      <x:c r="I15" s="13" t="str">
        <x:v>R04</x:v>
      </x:c>
      <x:c r="J15" s="13" t="str">
        <x:v>Funder Fit</x:v>
      </x:c>
      <x:c r="K15" s="13" t="str">
        <x:v>Funder fit &amp; work design</x:v>
      </x:c>
      <x:c r="L15" s="13" t="str">
        <x:v>2 Eligibility Checked; 4 Proposal Review</x:v>
      </x:c>
      <x:c r="M15" s="13" t="str">
        <x:v>104</x:v>
      </x:c>
      <x:c r="N15" s="13" t="str">
        <x:v>multiple_selection; selected options feed report meaning and flags; do not average blindly</x:v>
      </x:c>
    </x:row>
    <x:row r="16">
      <x:c r="A16" s="13" t="str">
        <x:v>240</x:v>
      </x:c>
      <x:c r="B16" s="13" t="str">
        <x:v>OP_16</x:v>
      </x:c>
      <x:c r="C16" s="13" t="str">
        <x:v>R09_D18_Q01</x:v>
      </x:c>
      <x:c r="D16" s="13" t="str">
        <x:v>R09_D17_Q01</x:v>
      </x:c>
      <x:c r="E16" s="13" t="str">
        <x:v>D18</x:v>
      </x:c>
      <x:c r="F16" s="13" t="str">
        <x:v>D17</x:v>
      </x:c>
      <x:c r="G16" s="13" t="str">
        <x:v>Evidence readiness</x:v>
      </x:c>
      <x:c r="H16" s="13" t="str">
        <x:v>R09</x:v>
      </x:c>
      <x:c r="I16" s="13" t="str">
        <x:v>R09</x:v>
      </x:c>
      <x:c r="J16" s="13" t="str">
        <x:v>Trust Signal</x:v>
      </x:c>
      <x:c r="K16" s="13" t="str">
        <x:v>Coherence, evidence &amp; social proof</x:v>
      </x:c>
      <x:c r="L16" s="13" t="str">
        <x:v>4 Proposal Review; 6 Due Diligence</x:v>
      </x:c>
      <x:c r="M16" s="13" t="str">
        <x:v>109</x:v>
      </x:c>
      <x:c r="N16" s="13" t="str">
        <x:v>multiple_selection; selected options feed report meaning and flags; do not average blindly</x:v>
      </x:c>
    </x:row>
    <x:row r="17">
      <x:c r="A17" s="13" t="str">
        <x:v>243</x:v>
      </x:c>
      <x:c r="B17" s="13" t="str">
        <x:v>OP_19</x:v>
      </x:c>
      <x:c r="C17" s="13" t="str">
        <x:v>R11_D21_Q01</x:v>
      </x:c>
      <x:c r="D17" s="13" t="str">
        <x:v>R11_D21_Q01</x:v>
      </x:c>
      <x:c r="E17" s="13" t="str">
        <x:v>D21</x:v>
      </x:c>
      <x:c r="F17" s="13" t="str">
        <x:v>D21</x:v>
      </x:c>
      <x:c r="G17" s="13" t="str">
        <x:v>Governance and controls</x:v>
      </x:c>
      <x:c r="H17" s="13" t="str">
        <x:v>R11</x:v>
      </x:c>
      <x:c r="I17" s="13" t="str">
        <x:v>R11</x:v>
      </x:c>
      <x:c r="J17" s="13" t="str">
        <x:v>Governance &amp; Ops</x:v>
      </x:c>
      <x:c r="K17" s="13" t="str">
        <x:v>Due diligence, finance &amp; risk</x:v>
      </x:c>
      <x:c r="L17" s="13" t="str">
        <x:v>6 Due Diligence; 7 Budget / Contract</x:v>
      </x:c>
      <x:c r="M17" s="13" t="str">
        <x:v>111</x:v>
      </x:c>
      <x:c r="N17" s="13" t="str">
        <x:v>multiple_selection; selected options feed report meaning and flags; do not average blindly</x:v>
      </x:c>
    </x:row>
    <x:row r="18">
      <x:c r="A18" s="13" t="str">
        <x:v>247</x:v>
      </x:c>
      <x:c r="B18" s="13" t="str">
        <x:v>OP_23</x:v>
      </x:c>
      <x:c r="C18" s="13" t="str">
        <x:v>R05_D10_Q02</x:v>
      </x:c>
      <x:c r="D18" s="13" t="str">
        <x:v>R04_D08_Q02</x:v>
      </x:c>
      <x:c r="E18" s="13" t="str">
        <x:v>D10</x:v>
      </x:c>
      <x:c r="F18" s="13" t="str">
        <x:v>D08</x:v>
      </x:c>
      <x:c r="G18" s="13" t="str">
        <x:v>Work design and grant-size fit</x:v>
      </x:c>
      <x:c r="H18" s="13" t="str">
        <x:v>R05</x:v>
      </x:c>
      <x:c r="I18" s="13" t="str">
        <x:v>R04</x:v>
      </x:c>
      <x:c r="J18" s="13" t="str">
        <x:v>Funder Fit</x:v>
      </x:c>
      <x:c r="K18" s="13" t="str">
        <x:v>Funder fit &amp; work design</x:v>
      </x:c>
      <x:c r="L18" s="13" t="str">
        <x:v>2 Eligibility Checked; 4 Proposal Review</x:v>
      </x:c>
      <x:c r="M18" s="13" t="str">
        <x:v>104</x:v>
      </x:c>
      <x:c r="N18" s="13" t="str">
        <x:v>multiple_selection; selected options feed report meaning and flags; do not average blindly</x:v>
      </x:c>
    </x:row>
    <x:row r="19">
      <x:c r="A19" s="13" t="str">
        <x:v>257</x:v>
      </x:c>
      <x:c r="B19" s="13" t="str">
        <x:v>OP_33</x:v>
      </x:c>
      <x:c r="C19" s="13" t="str">
        <x:v>R01_D02_Q01</x:v>
      </x:c>
      <x:c r="D19" s="13" t="str">
        <x:v>R10_D20_Q01</x:v>
      </x:c>
      <x:c r="E19" s="13" t="str">
        <x:v>D02</x:v>
      </x:c>
      <x:c r="F19" s="13" t="str">
        <x:v>D20</x:v>
      </x:c>
      <x:c r="G19" s="13" t="str">
        <x:v>Protected evidence protocol</x:v>
      </x:c>
      <x:c r="H19" s="13" t="str">
        <x:v>R01</x:v>
      </x:c>
      <x:c r="I19" s="13" t="str">
        <x:v>R10</x:v>
      </x:c>
      <x:c r="J19" s="13" t="str">
        <x:v>Context &amp; Safety</x:v>
      </x:c>
      <x:c r="K19" s="13" t="str">
        <x:v>Safeguarding &amp; protected proof</x:v>
      </x:c>
      <x:c r="L19" s="13" t="str">
        <x:v>6 Due Diligence</x:v>
      </x:c>
      <x:c r="M19" s="13" t="str">
        <x:v>110</x:v>
      </x:c>
      <x:c r="N19" s="13" t="str">
        <x:v>profile_or_context_signal; use for report personalisation and interpretation</x:v>
      </x:c>
    </x:row>
    <x:row r="20">
      <x:c r="A20" s="13" t="str">
        <x:v>246</x:v>
      </x:c>
      <x:c r="B20" s="13" t="str">
        <x:v>OP_22</x:v>
      </x:c>
      <x:c r="C20" s="13" t="str">
        <x:v>R05_D10_Q03</x:v>
      </x:c>
      <x:c r="D20" s="13" t="str">
        <x:v>R04_D08_Q03</x:v>
      </x:c>
      <x:c r="E20" s="13" t="str">
        <x:v>D10</x:v>
      </x:c>
      <x:c r="F20" s="13" t="str">
        <x:v>D08</x:v>
      </x:c>
      <x:c r="G20" s="13" t="str">
        <x:v>Work design and grant-size fit</x:v>
      </x:c>
      <x:c r="H20" s="13" t="str">
        <x:v>R05</x:v>
      </x:c>
      <x:c r="I20" s="13" t="str">
        <x:v>R04</x:v>
      </x:c>
      <x:c r="J20" s="13" t="str">
        <x:v>Funder Fit</x:v>
      </x:c>
      <x:c r="K20" s="13" t="str">
        <x:v>Funder fit &amp; work design</x:v>
      </x:c>
      <x:c r="L20" s="13" t="str">
        <x:v>2 Eligibility Checked; 4 Proposal Review</x:v>
      </x:c>
      <x:c r="M20" s="13" t="str">
        <x:v>104</x:v>
      </x:c>
      <x:c r="N20" s="13" t="str">
        <x:v>profile_or_context_signal; use for report personalisation and interpretation</x:v>
      </x:c>
    </x:row>
    <x:row r="21">
      <x:c r="A21" s="13" t="str">
        <x:v>248</x:v>
      </x:c>
      <x:c r="B21" s="13" t="str">
        <x:v>OP_24</x:v>
      </x:c>
      <x:c r="C21" s="13" t="str">
        <x:v>R12_D23_Q02</x:v>
      </x:c>
      <x:c r="D21" s="13" t="str">
        <x:v>R12_D24_Q02</x:v>
      </x:c>
      <x:c r="E21" s="13" t="str">
        <x:v>D23</x:v>
      </x:c>
      <x:c r="F21" s="13" t="str">
        <x:v>D24</x:v>
      </x:c>
      <x:c r="G21" s="13" t="str">
        <x:v>Sustainability and adaptive capacity</x:v>
      </x:c>
      <x:c r="H21" s="13" t="str">
        <x:v>R12</x:v>
      </x:c>
      <x:c r="I21" s="13" t="str">
        <x:v>R12</x:v>
      </x:c>
      <x:c r="J21" s="13" t="str">
        <x:v>Financial Health</x:v>
      </x:c>
      <x:c r="K21" s="13" t="str">
        <x:v>Grant management &amp; sustainability</x:v>
      </x:c>
      <x:c r="L21" s="13" t="str">
        <x:v>7 Budget / Contract; 8 Award / Renewal</x:v>
      </x:c>
      <x:c r="M21" s="13" t="str">
        <x:v>112</x:v>
      </x:c>
      <x:c r="N21" s="13" t="str">
        <x:v>single_choice_score_or_interpretation_signal</x:v>
      </x:c>
    </x:row>
    <x:row r="22">
      <x:c r="A22" s="13" t="str">
        <x:v>249</x:v>
      </x:c>
      <x:c r="B22" s="13" t="str">
        <x:v>OP_25</x:v>
      </x:c>
      <x:c r="C22" s="13" t="str">
        <x:v>R08_D15_Q01</x:v>
      </x:c>
      <x:c r="D22" s="13" t="str">
        <x:v>R07_D13_Q01</x:v>
      </x:c>
      <x:c r="E22" s="13" t="str">
        <x:v>D15</x:v>
      </x:c>
      <x:c r="F22" s="13" t="str">
        <x:v>D13</x:v>
      </x:c>
      <x:c r="G22" s="13" t="str">
        <x:v>Relationship management</x:v>
      </x:c>
      <x:c r="H22" s="13" t="str">
        <x:v>R08</x:v>
      </x:c>
      <x:c r="I22" s="13" t="str">
        <x:v>R07</x:v>
      </x:c>
      <x:c r="J22" s="13" t="str">
        <x:v>Relationship Capital</x:v>
      </x:c>
      <x:c r="K22" s="13" t="str">
        <x:v>Relationship, leadership &amp; visibility</x:v>
      </x:c>
      <x:c r="L22" s="13" t="str">
        <x:v>5 Conversation / Clarification; 8 Award / Renewal</x:v>
      </x:c>
      <x:c r="M22" s="13" t="str">
        <x:v>107</x:v>
      </x:c>
      <x:c r="N22" s="13" t="str">
        <x:v>multiple_selection; selected options feed report meaning and flags; do not average blindly</x:v>
      </x:c>
    </x:row>
    <x:row r="23">
      <x:c r="A23" s="13" t="str">
        <x:v>250</x:v>
      </x:c>
      <x:c r="B23" s="13" t="str">
        <x:v>OP_26</x:v>
      </x:c>
      <x:c r="C23" s="13" t="str">
        <x:v>R04_D08_Q01</x:v>
      </x:c>
      <x:c r="D23" s="13" t="str">
        <x:v>R03_D06_Q01</x:v>
      </x:c>
      <x:c r="E23" s="13" t="str">
        <x:v>D08</x:v>
      </x:c>
      <x:c r="F23" s="13" t="str">
        <x:v>D06</x:v>
      </x:c>
      <x:c r="G23" s="13" t="str">
        <x:v>Go/no-go discipline and repair loop</x:v>
      </x:c>
      <x:c r="H23" s="13" t="str">
        <x:v>R04</x:v>
      </x:c>
      <x:c r="I23" s="13" t="str">
        <x:v>R03</x:v>
      </x:c>
      <x:c r="J23" s="13" t="str">
        <x:v>Pipeline Discipline</x:v>
      </x:c>
      <x:c r="K23" s="13" t="str">
        <x:v>Fundraising systems &amp; go/no-go</x:v>
      </x:c>
      <x:c r="L23" s="13" t="str">
        <x:v>3 Application Submitted; 4 Proposal Review</x:v>
      </x:c>
      <x:c r="M23" s="13" t="str">
        <x:v>103</x:v>
      </x:c>
      <x:c r="N23" s="13" t="str">
        <x:v>single_choice_score_or_interpretation_signal</x:v>
      </x:c>
    </x:row>
    <x:row r="24">
      <x:c r="A24" s="13" t="str">
        <x:v>251</x:v>
      </x:c>
      <x:c r="B24" s="13" t="str">
        <x:v>OP_27</x:v>
      </x:c>
      <x:c r="C24" s="13" t="str">
        <x:v>R04_D08_Q02</x:v>
      </x:c>
      <x:c r="D24" s="13" t="str">
        <x:v>R03_D06_Q02</x:v>
      </x:c>
      <x:c r="E24" s="13" t="str">
        <x:v>D08</x:v>
      </x:c>
      <x:c r="F24" s="13" t="str">
        <x:v>D06</x:v>
      </x:c>
      <x:c r="G24" s="13" t="str">
        <x:v>Go/no-go discipline and repair loop</x:v>
      </x:c>
      <x:c r="H24" s="13" t="str">
        <x:v>R04</x:v>
      </x:c>
      <x:c r="I24" s="13" t="str">
        <x:v>R03</x:v>
      </x:c>
      <x:c r="J24" s="13" t="str">
        <x:v>Pipeline Discipline</x:v>
      </x:c>
      <x:c r="K24" s="13" t="str">
        <x:v>Fundraising systems &amp; go/no-go</x:v>
      </x:c>
      <x:c r="L24" s="13" t="str">
        <x:v>3 Application Submitted; 4 Proposal Review</x:v>
      </x:c>
      <x:c r="M24" s="13" t="str">
        <x:v>103</x:v>
      </x:c>
      <x:c r="N24" s="13" t="str">
        <x:v>single_choice_score_or_interpretation_signal</x:v>
      </x:c>
    </x:row>
    <x:row r="25">
      <x:c r="A25" s="13" t="str">
        <x:v>261</x:v>
      </x:c>
      <x:c r="B25" s="13" t="str">
        <x:v>JB_PRIMARY_BREAK</x:v>
      </x:c>
      <x:c r="C25" s="13" t="str">
        <x:v>R04_D08_BREAKPOINT_STAGE</x:v>
      </x:c>
      <x:c r="D25" s="13" t="str">
        <x:v>R03_D06_Q03</x:v>
      </x:c>
      <x:c r="E25" s="13" t="str">
        <x:v>D08</x:v>
      </x:c>
      <x:c r="F25" s="13" t="str">
        <x:v>D06</x:v>
      </x:c>
      <x:c r="G25" s="13" t="str">
        <x:v>Go/no-go discipline and repair loop</x:v>
      </x:c>
      <x:c r="H25" s="13" t="str">
        <x:v>R04</x:v>
      </x:c>
      <x:c r="I25" s="13" t="str">
        <x:v>R03</x:v>
      </x:c>
      <x:c r="J25" s="13" t="str">
        <x:v>Pipeline Discipline</x:v>
      </x:c>
      <x:c r="K25" s="13" t="str">
        <x:v>Fundraising systems &amp; go/no-go</x:v>
      </x:c>
      <x:c r="L25" s="13" t="str">
        <x:v>3 Application Submitted; 4 Proposal Review</x:v>
      </x:c>
      <x:c r="M25" s="13" t="str">
        <x:v>103</x:v>
      </x:c>
      <x:c r="N25" s="13" t="str">
        <x:v>single_choice_score_or_interpretation_signal</x:v>
      </x:c>
    </x:row>
    <x:row r="26">
      <x:c r="A26" s="13" t="str">
        <x:v>262</x:v>
      </x:c>
      <x:c r="B26" s="13" t="str">
        <x:v>AJ_OPPORTUNITY_TYPES</x:v>
      </x:c>
      <x:c r="C26" s="13" t="str">
        <x:v>R03_D05_Q01</x:v>
      </x:c>
      <x:c r="D26" s="13" t="str">
        <x:v>R02_D03_Q01</x:v>
      </x:c>
      <x:c r="E26" s="13" t="str">
        <x:v>D05</x:v>
      </x:c>
      <x:c r="F26" s="13" t="str">
        <x:v>D03</x:v>
      </x:c>
      <x:c r="G26" s="13" t="str">
        <x:v>Funder market intelligence</x:v>
      </x:c>
      <x:c r="H26" s="13" t="str">
        <x:v>R03</x:v>
      </x:c>
      <x:c r="I26" s="13" t="str">
        <x:v>R02</x:v>
      </x:c>
      <x:c r="J26" s="13" t="str">
        <x:v>Market Intelligence</x:v>
      </x:c>
      <x:c r="K26" s="13" t="str">
        <x:v>Funder intelligence &amp; timing</x:v>
      </x:c>
      <x:c r="L26" s="13" t="str">
        <x:v>1 Opportunity Found</x:v>
      </x:c>
      <x:c r="M26" s="13" t="str">
        <x:v>102</x:v>
      </x:c>
      <x:c r="N26" s="13" t="str">
        <x:v>multiple_selection; selected options feed report meaning and flags; do not average blindly</x:v>
      </x:c>
    </x:row>
    <x:row r="27">
      <x:c r="A27" s="13" t="str">
        <x:v>263</x:v>
      </x:c>
      <x:c r="B27" s="13" t="str">
        <x:v>AJ_REJECT_FUNDER_TYPES</x:v>
      </x:c>
      <x:c r="C27" s="13" t="str">
        <x:v>R03_D05_Q02</x:v>
      </x:c>
      <x:c r="D27" s="13" t="str">
        <x:v>R02_D03_Q02</x:v>
      </x:c>
      <x:c r="E27" s="13" t="str">
        <x:v>D05</x:v>
      </x:c>
      <x:c r="F27" s="13" t="str">
        <x:v>D03</x:v>
      </x:c>
      <x:c r="G27" s="13" t="str">
        <x:v>Funder market intelligence</x:v>
      </x:c>
      <x:c r="H27" s="13" t="str">
        <x:v>R03</x:v>
      </x:c>
      <x:c r="I27" s="13" t="str">
        <x:v>R02</x:v>
      </x:c>
      <x:c r="J27" s="13" t="str">
        <x:v>Market Intelligence</x:v>
      </x:c>
      <x:c r="K27" s="13" t="str">
        <x:v>Funder intelligence &amp; timing</x:v>
      </x:c>
      <x:c r="L27" s="13" t="str">
        <x:v>1 Opportunity Found</x:v>
      </x:c>
      <x:c r="M27" s="13" t="str">
        <x:v>102</x:v>
      </x:c>
      <x:c r="N27" s="13" t="str">
        <x:v>multiple_selection; selected options feed report meaning and flags; do not average blindly</x:v>
      </x:c>
    </x:row>
    <x:row r="28">
      <x:c r="A28" s="13" t="str">
        <x:v>264</x:v>
      </x:c>
      <x:c r="B28" s="13" t="str">
        <x:v>AJ_USUAL_ROUTE</x:v>
      </x:c>
      <x:c r="C28" s="13" t="str">
        <x:v>R07_D13_Q01</x:v>
      </x:c>
      <x:c r="D28" s="13" t="str">
        <x:v>R06_D11_Q01</x:v>
      </x:c>
      <x:c r="E28" s="13" t="str">
        <x:v>D13</x:v>
      </x:c>
      <x:c r="F28" s="13" t="str">
        <x:v>D11</x:v>
      </x:c>
      <x:c r="G28" s="13" t="str">
        <x:v>Access routes</x:v>
      </x:c>
      <x:c r="H28" s="13" t="str">
        <x:v>R07</x:v>
      </x:c>
      <x:c r="I28" s="13" t="str">
        <x:v>R06</x:v>
      </x:c>
      <x:c r="J28" s="13" t="str">
        <x:v>Network Access</x:v>
      </x:c>
      <x:c r="K28" s="13" t="str">
        <x:v>Network position &amp; access routes</x:v>
      </x:c>
      <x:c r="L28" s="13" t="str">
        <x:v>1 Opportunity Found; 5 Conversation / Clarification</x:v>
      </x:c>
      <x:c r="M28" s="13" t="str">
        <x:v>106</x:v>
      </x:c>
      <x:c r="N28" s="13" t="str">
        <x:v>multiple_selection; selected options feed report meaning and flags; do not average blindly</x:v>
      </x:c>
    </x:row>
    <x:row r="29">
      <x:c r="A29" s="13" t="str">
        <x:v>268</x:v>
      </x:c>
      <x:c r="B29" s="13" t="str">
        <x:v>AJ_GENERAL_RESULT</x:v>
      </x:c>
      <x:c r="C29" s="13" t="str">
        <x:v>R04_D08_Q03</x:v>
      </x:c>
      <x:c r="D29" s="13" t="str">
        <x:v>R03_D06_Q04</x:v>
      </x:c>
      <x:c r="E29" s="13" t="str">
        <x:v>D08</x:v>
      </x:c>
      <x:c r="F29" s="13" t="str">
        <x:v>D06</x:v>
      </x:c>
      <x:c r="G29" s="13" t="str">
        <x:v>Go/no-go discipline and repair loop</x:v>
      </x:c>
      <x:c r="H29" s="13" t="str">
        <x:v>R04</x:v>
      </x:c>
      <x:c r="I29" s="13" t="str">
        <x:v>R03</x:v>
      </x:c>
      <x:c r="J29" s="13" t="str">
        <x:v>Pipeline Discipline</x:v>
      </x:c>
      <x:c r="K29" s="13" t="str">
        <x:v>Fundraising systems &amp; go/no-go</x:v>
      </x:c>
      <x:c r="L29" s="13" t="str">
        <x:v>3 Application Submitted; 4 Proposal Review</x:v>
      </x:c>
      <x:c r="M29" s="13" t="str">
        <x:v>103</x:v>
      </x:c>
      <x:c r="N29" s="13" t="str">
        <x:v>single_choice_score_or_interpretation_signal</x:v>
      </x:c>
    </x:row>
    <x:row r="30">
      <x:c r="A30" s="13" t="str">
        <x:v>269</x:v>
      </x:c>
      <x:c r="B30" s="13" t="str">
        <x:v>AJ_GENERAL_FEEDBACK</x:v>
      </x:c>
      <x:c r="C30" s="13" t="str">
        <x:v>R04_D08_Q04</x:v>
      </x:c>
      <x:c r="D30" s="13" t="str">
        <x:v>R03_D06_Q05</x:v>
      </x:c>
      <x:c r="E30" s="13" t="str">
        <x:v>D08</x:v>
      </x:c>
      <x:c r="F30" s="13" t="str">
        <x:v>D06</x:v>
      </x:c>
      <x:c r="G30" s="13" t="str">
        <x:v>Go/no-go discipline and repair loop</x:v>
      </x:c>
      <x:c r="H30" s="13" t="str">
        <x:v>R04</x:v>
      </x:c>
      <x:c r="I30" s="13" t="str">
        <x:v>R03</x:v>
      </x:c>
      <x:c r="J30" s="13" t="str">
        <x:v>Pipeline Discipline</x:v>
      </x:c>
      <x:c r="K30" s="13" t="str">
        <x:v>Fundraising systems &amp; go/no-go</x:v>
      </x:c>
      <x:c r="L30" s="13" t="str">
        <x:v>3 Application Submitted; 4 Proposal Review</x:v>
      </x:c>
      <x:c r="M30" s="13" t="str">
        <x:v>103</x:v>
      </x:c>
      <x:c r="N30" s="13" t="str">
        <x:v>multiple_selection; selected options feed report meaning and flags; do not average blindly</x:v>
      </x:c>
    </x:row>
    <x:row r="31">
      <x:c r="A31" s="13" t="str">
        <x:v>270</x:v>
      </x:c>
      <x:c r="B31" s="13" t="str">
        <x:v>AJ_FOLLOWUP_PATTERN</x:v>
      </x:c>
      <x:c r="C31" s="13" t="str">
        <x:v>R08_D15_Q02</x:v>
      </x:c>
      <x:c r="D31" s="13" t="str">
        <x:v>R07_D13_Q02</x:v>
      </x:c>
      <x:c r="E31" s="13" t="str">
        <x:v>D15</x:v>
      </x:c>
      <x:c r="F31" s="13" t="str">
        <x:v>D13</x:v>
      </x:c>
      <x:c r="G31" s="13" t="str">
        <x:v>Relationship management</x:v>
      </x:c>
      <x:c r="H31" s="13" t="str">
        <x:v>R08</x:v>
      </x:c>
      <x:c r="I31" s="13" t="str">
        <x:v>R07</x:v>
      </x:c>
      <x:c r="J31" s="13" t="str">
        <x:v>Relationship Capital</x:v>
      </x:c>
      <x:c r="K31" s="13" t="str">
        <x:v>Relationship, leadership &amp; visibility</x:v>
      </x:c>
      <x:c r="L31" s="13" t="str">
        <x:v>5 Conversation / Clarification; 8 Award / Renewal</x:v>
      </x:c>
      <x:c r="M31" s="13" t="str">
        <x:v>107</x:v>
      </x:c>
      <x:c r="N31" s="13" t="str">
        <x:v>single_choice_score_or_interpretation_signal</x:v>
      </x:c>
    </x:row>
    <x:row r="32">
      <x:c r="A32" s="13" t="str">
        <x:v>271</x:v>
      </x:c>
      <x:c r="B32" s="13" t="str">
        <x:v>AJ_CHANGED_LAST</x:v>
      </x:c>
      <x:c r="C32" s="13" t="str">
        <x:v>R04_D08_Q05</x:v>
      </x:c>
      <x:c r="D32" s="13" t="str">
        <x:v>R03_D06_Q06</x:v>
      </x:c>
      <x:c r="E32" s="13" t="str">
        <x:v>D08</x:v>
      </x:c>
      <x:c r="F32" s="13" t="str">
        <x:v>D06</x:v>
      </x:c>
      <x:c r="G32" s="13" t="str">
        <x:v>Go/no-go discipline and repair loop</x:v>
      </x:c>
      <x:c r="H32" s="13" t="str">
        <x:v>R04</x:v>
      </x:c>
      <x:c r="I32" s="13" t="str">
        <x:v>R03</x:v>
      </x:c>
      <x:c r="J32" s="13" t="str">
        <x:v>Pipeline Discipline</x:v>
      </x:c>
      <x:c r="K32" s="13" t="str">
        <x:v>Fundraising systems &amp; go/no-go</x:v>
      </x:c>
      <x:c r="L32" s="13" t="str">
        <x:v>3 Application Submitted; 4 Proposal Review</x:v>
      </x:c>
      <x:c r="M32" s="13" t="str">
        <x:v>103</x:v>
      </x:c>
      <x:c r="N32" s="13" t="str">
        <x:v>multiple_selection; selected options feed report meaning and flags; do not average blindly</x:v>
      </x:c>
    </x:row>
    <x:row r="33">
      <x:c r="A33" s="13" t="str">
        <x:v>295</x:v>
      </x:c>
      <x:c r="B33" s="13" t="str">
        <x:v>G1_1</x:v>
      </x:c>
      <x:c r="C33" s="13" t="str">
        <x:v>R05_D09_Q02</x:v>
      </x:c>
      <x:c r="D33" s="13" t="str">
        <x:v>R04_D07_Q02</x:v>
      </x:c>
      <x:c r="E33" s="13" t="str">
        <x:v>D09</x:v>
      </x:c>
      <x:c r="F33" s="13" t="str">
        <x:v>D07</x:v>
      </x:c>
      <x:c r="G33" s="13" t="str">
        <x:v>Mandate and eligibility fit</x:v>
      </x:c>
      <x:c r="H33" s="13" t="str">
        <x:v>R05</x:v>
      </x:c>
      <x:c r="I33" s="13" t="str">
        <x:v>R04</x:v>
      </x:c>
      <x:c r="J33" s="13" t="str">
        <x:v>Funder Fit</x:v>
      </x:c>
      <x:c r="K33" s="13" t="str">
        <x:v>Funder fit &amp; work design</x:v>
      </x:c>
      <x:c r="L33" s="13" t="str">
        <x:v>2 Eligibility Checked; 4 Proposal Review</x:v>
      </x:c>
      <x:c r="M33" s="13" t="str">
        <x:v>104</x:v>
      </x:c>
      <x:c r="N33" s="13" t="str">
        <x:v>single_choice_score_or_interpretation_signal</x:v>
      </x:c>
    </x:row>
    <x:row r="34">
      <x:c r="A34" s="13" t="str">
        <x:v>296</x:v>
      </x:c>
      <x:c r="B34" s="13" t="str">
        <x:v>G1_2</x:v>
      </x:c>
      <x:c r="C34" s="13" t="str">
        <x:v>R05_D09_Q03</x:v>
      </x:c>
      <x:c r="D34" s="13" t="str">
        <x:v>R04_D07_Q03</x:v>
      </x:c>
      <x:c r="E34" s="13" t="str">
        <x:v>D09</x:v>
      </x:c>
      <x:c r="F34" s="13" t="str">
        <x:v>D07</x:v>
      </x:c>
      <x:c r="G34" s="13" t="str">
        <x:v>Mandate and eligibility fit</x:v>
      </x:c>
      <x:c r="H34" s="13" t="str">
        <x:v>R05</x:v>
      </x:c>
      <x:c r="I34" s="13" t="str">
        <x:v>R04</x:v>
      </x:c>
      <x:c r="J34" s="13" t="str">
        <x:v>Funder Fit</x:v>
      </x:c>
      <x:c r="K34" s="13" t="str">
        <x:v>Funder fit &amp; work design</x:v>
      </x:c>
      <x:c r="L34" s="13" t="str">
        <x:v>2 Eligibility Checked; 4 Proposal Review</x:v>
      </x:c>
      <x:c r="M34" s="13" t="str">
        <x:v>104</x:v>
      </x:c>
      <x:c r="N34" s="13" t="str">
        <x:v>single_choice_score_or_interpretation_signal</x:v>
      </x:c>
    </x:row>
    <x:row r="35">
      <x:c r="A35" s="13" t="str">
        <x:v>297</x:v>
      </x:c>
      <x:c r="B35" s="13" t="str">
        <x:v>G1_3</x:v>
      </x:c>
      <x:c r="C35" s="13" t="str">
        <x:v>R05_D09_Q04</x:v>
      </x:c>
      <x:c r="D35" s="13" t="str">
        <x:v>R04_D07_Q04</x:v>
      </x:c>
      <x:c r="E35" s="13" t="str">
        <x:v>D09</x:v>
      </x:c>
      <x:c r="F35" s="13" t="str">
        <x:v>D07</x:v>
      </x:c>
      <x:c r="G35" s="13" t="str">
        <x:v>Mandate and eligibility fit</x:v>
      </x:c>
      <x:c r="H35" s="13" t="str">
        <x:v>R05</x:v>
      </x:c>
      <x:c r="I35" s="13" t="str">
        <x:v>R04</x:v>
      </x:c>
      <x:c r="J35" s="13" t="str">
        <x:v>Funder Fit</x:v>
      </x:c>
      <x:c r="K35" s="13" t="str">
        <x:v>Funder fit &amp; work design</x:v>
      </x:c>
      <x:c r="L35" s="13" t="str">
        <x:v>2 Eligibility Checked; 4 Proposal Review</x:v>
      </x:c>
      <x:c r="M35" s="13" t="str">
        <x:v>104</x:v>
      </x:c>
      <x:c r="N35" s="13" t="str">
        <x:v>single_choice_score_or_interpretation_signal</x:v>
      </x:c>
    </x:row>
    <x:row r="36">
      <x:c r="A36" s="13" t="str">
        <x:v>298</x:v>
      </x:c>
      <x:c r="B36" s="13" t="str">
        <x:v>G1_4</x:v>
      </x:c>
      <x:c r="C36" s="13" t="str">
        <x:v>R05_D09_Q05</x:v>
      </x:c>
      <x:c r="D36" s="13" t="str">
        <x:v>R04_D07_Q05</x:v>
      </x:c>
      <x:c r="E36" s="13" t="str">
        <x:v>D09</x:v>
      </x:c>
      <x:c r="F36" s="13" t="str">
        <x:v>D07</x:v>
      </x:c>
      <x:c r="G36" s="13" t="str">
        <x:v>Mandate and eligibility fit</x:v>
      </x:c>
      <x:c r="H36" s="13" t="str">
        <x:v>R05</x:v>
      </x:c>
      <x:c r="I36" s="13" t="str">
        <x:v>R04</x:v>
      </x:c>
      <x:c r="J36" s="13" t="str">
        <x:v>Funder Fit</x:v>
      </x:c>
      <x:c r="K36" s="13" t="str">
        <x:v>Funder fit &amp; work design</x:v>
      </x:c>
      <x:c r="L36" s="13" t="str">
        <x:v>2 Eligibility Checked; 4 Proposal Review</x:v>
      </x:c>
      <x:c r="M36" s="13" t="str">
        <x:v>104</x:v>
      </x:c>
      <x:c r="N36" s="13" t="str">
        <x:v>single_choice_score_or_interpretation_signal</x:v>
      </x:c>
    </x:row>
    <x:row r="37">
      <x:c r="A37" s="13" t="str">
        <x:v>299</x:v>
      </x:c>
      <x:c r="B37" s="13" t="str">
        <x:v>G1_5</x:v>
      </x:c>
      <x:c r="C37" s="13" t="str">
        <x:v>R05_D10_Q04</x:v>
      </x:c>
      <x:c r="D37" s="13" t="str">
        <x:v>R04_D08_Q04</x:v>
      </x:c>
      <x:c r="E37" s="13" t="str">
        <x:v>D10</x:v>
      </x:c>
      <x:c r="F37" s="13" t="str">
        <x:v>D08</x:v>
      </x:c>
      <x:c r="G37" s="13" t="str">
        <x:v>Work design and grant-size fit</x:v>
      </x:c>
      <x:c r="H37" s="13" t="str">
        <x:v>R05</x:v>
      </x:c>
      <x:c r="I37" s="13" t="str">
        <x:v>R04</x:v>
      </x:c>
      <x:c r="J37" s="13" t="str">
        <x:v>Funder Fit</x:v>
      </x:c>
      <x:c r="K37" s="13" t="str">
        <x:v>Funder fit &amp; work design</x:v>
      </x:c>
      <x:c r="L37" s="13" t="str">
        <x:v>2 Eligibility Checked; 4 Proposal Review</x:v>
      </x:c>
      <x:c r="M37" s="13" t="str">
        <x:v>104</x:v>
      </x:c>
      <x:c r="N37" s="13" t="str">
        <x:v>single_choice_score_or_interpretation_signal</x:v>
      </x:c>
    </x:row>
    <x:row r="38">
      <x:c r="A38" s="13" t="str">
        <x:v>300</x:v>
      </x:c>
      <x:c r="B38" s="13" t="str">
        <x:v>G1_6</x:v>
      </x:c>
      <x:c r="C38" s="13" t="str">
        <x:v>R05_D10_Q05</x:v>
      </x:c>
      <x:c r="D38" s="13" t="str">
        <x:v>R04_D08_Q05</x:v>
      </x:c>
      <x:c r="E38" s="13" t="str">
        <x:v>D10</x:v>
      </x:c>
      <x:c r="F38" s="13" t="str">
        <x:v>D08</x:v>
      </x:c>
      <x:c r="G38" s="13" t="str">
        <x:v>Work design and grant-size fit</x:v>
      </x:c>
      <x:c r="H38" s="13" t="str">
        <x:v>R05</x:v>
      </x:c>
      <x:c r="I38" s="13" t="str">
        <x:v>R04</x:v>
      </x:c>
      <x:c r="J38" s="13" t="str">
        <x:v>Funder Fit</x:v>
      </x:c>
      <x:c r="K38" s="13" t="str">
        <x:v>Funder fit &amp; work design</x:v>
      </x:c>
      <x:c r="L38" s="13" t="str">
        <x:v>2 Eligibility Checked; 4 Proposal Review</x:v>
      </x:c>
      <x:c r="M38" s="13" t="str">
        <x:v>104</x:v>
      </x:c>
      <x:c r="N38" s="13" t="str">
        <x:v>single_choice_score_or_interpretation_signal</x:v>
      </x:c>
    </x:row>
    <x:row r="39">
      <x:c r="A39" s="13" t="str">
        <x:v>301</x:v>
      </x:c>
      <x:c r="B39" s="13" t="str">
        <x:v>G1_7</x:v>
      </x:c>
      <x:c r="C39" s="13" t="str">
        <x:v>R05_D10_Q06</x:v>
      </x:c>
      <x:c r="D39" s="13" t="str">
        <x:v>R04_D08_Q06</x:v>
      </x:c>
      <x:c r="E39" s="13" t="str">
        <x:v>D10</x:v>
      </x:c>
      <x:c r="F39" s="13" t="str">
        <x:v>D08</x:v>
      </x:c>
      <x:c r="G39" s="13" t="str">
        <x:v>Work design and grant-size fit</x:v>
      </x:c>
      <x:c r="H39" s="13" t="str">
        <x:v>R05</x:v>
      </x:c>
      <x:c r="I39" s="13" t="str">
        <x:v>R04</x:v>
      </x:c>
      <x:c r="J39" s="13" t="str">
        <x:v>Funder Fit</x:v>
      </x:c>
      <x:c r="K39" s="13" t="str">
        <x:v>Funder fit &amp; work design</x:v>
      </x:c>
      <x:c r="L39" s="13" t="str">
        <x:v>2 Eligibility Checked; 4 Proposal Review</x:v>
      </x:c>
      <x:c r="M39" s="13" t="str">
        <x:v>104</x:v>
      </x:c>
      <x:c r="N39" s="13" t="str">
        <x:v>single_choice_score_or_interpretation_signal</x:v>
      </x:c>
    </x:row>
    <x:row r="40">
      <x:c r="A40" s="13" t="str">
        <x:v>302</x:v>
      </x:c>
      <x:c r="B40" s="13" t="str">
        <x:v>G1_8</x:v>
      </x:c>
      <x:c r="C40" s="13" t="str">
        <x:v>R05_D10_Q07</x:v>
      </x:c>
      <x:c r="D40" s="13" t="str">
        <x:v>R04_D08_Q07</x:v>
      </x:c>
      <x:c r="E40" s="13" t="str">
        <x:v>D10</x:v>
      </x:c>
      <x:c r="F40" s="13" t="str">
        <x:v>D08</x:v>
      </x:c>
      <x:c r="G40" s="13" t="str">
        <x:v>Work design and grant-size fit</x:v>
      </x:c>
      <x:c r="H40" s="13" t="str">
        <x:v>R05</x:v>
      </x:c>
      <x:c r="I40" s="13" t="str">
        <x:v>R04</x:v>
      </x:c>
      <x:c r="J40" s="13" t="str">
        <x:v>Funder Fit</x:v>
      </x:c>
      <x:c r="K40" s="13" t="str">
        <x:v>Funder fit &amp; work design</x:v>
      </x:c>
      <x:c r="L40" s="13" t="str">
        <x:v>2 Eligibility Checked; 4 Proposal Review</x:v>
      </x:c>
      <x:c r="M40" s="13" t="str">
        <x:v>104</x:v>
      </x:c>
      <x:c r="N40" s="13" t="str">
        <x:v>single_choice_score_or_interpretation_signal</x:v>
      </x:c>
    </x:row>
    <x:row r="41">
      <x:c r="A41" s="13" t="str">
        <x:v>303</x:v>
      </x:c>
      <x:c r="B41" s="13" t="str">
        <x:v>G1_9</x:v>
      </x:c>
      <x:c r="C41" s="13" t="str">
        <x:v>R05_D10_Q08</x:v>
      </x:c>
      <x:c r="D41" s="13" t="str">
        <x:v>R04_D08_Q08</x:v>
      </x:c>
      <x:c r="E41" s="13" t="str">
        <x:v>D10</x:v>
      </x:c>
      <x:c r="F41" s="13" t="str">
        <x:v>D08</x:v>
      </x:c>
      <x:c r="G41" s="13" t="str">
        <x:v>Work design and grant-size fit</x:v>
      </x:c>
      <x:c r="H41" s="13" t="str">
        <x:v>R05</x:v>
      </x:c>
      <x:c r="I41" s="13" t="str">
        <x:v>R04</x:v>
      </x:c>
      <x:c r="J41" s="13" t="str">
        <x:v>Funder Fit</x:v>
      </x:c>
      <x:c r="K41" s="13" t="str">
        <x:v>Funder fit &amp; work design</x:v>
      </x:c>
      <x:c r="L41" s="13" t="str">
        <x:v>2 Eligibility Checked; 4 Proposal Review</x:v>
      </x:c>
      <x:c r="M41" s="13" t="str">
        <x:v>104</x:v>
      </x:c>
      <x:c r="N41" s="13" t="str">
        <x:v>single_choice_score_or_interpretation_signal</x:v>
      </x:c>
    </x:row>
    <x:row r="42">
      <x:c r="A42" s="13" t="str">
        <x:v>304</x:v>
      </x:c>
      <x:c r="B42" s="13" t="str">
        <x:v>G1_10</x:v>
      </x:c>
      <x:c r="C42" s="13" t="str">
        <x:v>R06_D11_Q01</x:v>
      </x:c>
      <x:c r="D42" s="13" t="str">
        <x:v>R05_D09_Q01</x:v>
      </x:c>
      <x:c r="E42" s="13" t="str">
        <x:v>D11</x:v>
      </x:c>
      <x:c r="F42" s="13" t="str">
        <x:v>D09</x:v>
      </x:c>
      <x:c r="G42" s="13" t="str">
        <x:v>Competitive positioning</x:v>
      </x:c>
      <x:c r="H42" s="13" t="str">
        <x:v>R06</x:v>
      </x:c>
      <x:c r="I42" s="13" t="str">
        <x:v>R05</x:v>
      </x:c>
      <x:c r="J42" s="13" t="str">
        <x:v>Competitive Edge</x:v>
      </x:c>
      <x:c r="K42" s="13" t="str">
        <x:v>Competitive positioning, appeal &amp; ROI</x:v>
      </x:c>
      <x:c r="L42" s="13" t="str">
        <x:v>4 Proposal Review</x:v>
      </x:c>
      <x:c r="M42" s="13" t="str">
        <x:v>105</x:v>
      </x:c>
      <x:c r="N42" s="13" t="str">
        <x:v>single_choice_score_or_interpretation_signal</x:v>
      </x:c>
    </x:row>
    <x:row r="43">
      <x:c r="A43" s="13" t="str">
        <x:v>314</x:v>
      </x:c>
      <x:c r="B43" s="13" t="str">
        <x:v>G3_1</x:v>
      </x:c>
      <x:c r="C43" s="13" t="str">
        <x:v>R10_D19_Q01</x:v>
      </x:c>
      <x:c r="D43" s="13" t="str">
        <x:v>R08_D15_Q01</x:v>
      </x:c>
      <x:c r="E43" s="13" t="str">
        <x:v>D19</x:v>
      </x:c>
      <x:c r="F43" s="13" t="str">
        <x:v>D15</x:v>
      </x:c>
      <x:c r="G43" s="13" t="str">
        <x:v>Application clarity and storytelling</x:v>
      </x:c>
      <x:c r="H43" s="13" t="str">
        <x:v>R10</x:v>
      </x:c>
      <x:c r="I43" s="13" t="str">
        <x:v>R08</x:v>
      </x:c>
      <x:c r="J43" s="13" t="str">
        <x:v>Proposal Quality</x:v>
      </x:c>
      <x:c r="K43" s="13" t="str">
        <x:v>Application quality &amp; storytelling</x:v>
      </x:c>
      <x:c r="L43" s="13" t="str">
        <x:v>3 Application Submitted; 4 Proposal Review</x:v>
      </x:c>
      <x:c r="M43" s="13" t="str">
        <x:v>108</x:v>
      </x:c>
      <x:c r="N43" s="13" t="str">
        <x:v>single_choice_score_or_interpretation_signal</x:v>
      </x:c>
    </x:row>
    <x:row r="44">
      <x:c r="A44" s="13" t="str">
        <x:v>315</x:v>
      </x:c>
      <x:c r="B44" s="13" t="str">
        <x:v>G3_2</x:v>
      </x:c>
      <x:c r="C44" s="13" t="str">
        <x:v>R10_D19_Q02</x:v>
      </x:c>
      <x:c r="D44" s="13" t="str">
        <x:v>R08_D15_Q02</x:v>
      </x:c>
      <x:c r="E44" s="13" t="str">
        <x:v>D19</x:v>
      </x:c>
      <x:c r="F44" s="13" t="str">
        <x:v>D15</x:v>
      </x:c>
      <x:c r="G44" s="13" t="str">
        <x:v>Application clarity and storytelling</x:v>
      </x:c>
      <x:c r="H44" s="13" t="str">
        <x:v>R10</x:v>
      </x:c>
      <x:c r="I44" s="13" t="str">
        <x:v>R08</x:v>
      </x:c>
      <x:c r="J44" s="13" t="str">
        <x:v>Proposal Quality</x:v>
      </x:c>
      <x:c r="K44" s="13" t="str">
        <x:v>Application quality &amp; storytelling</x:v>
      </x:c>
      <x:c r="L44" s="13" t="str">
        <x:v>3 Application Submitted; 4 Proposal Review</x:v>
      </x:c>
      <x:c r="M44" s="13" t="str">
        <x:v>108</x:v>
      </x:c>
      <x:c r="N44" s="13" t="str">
        <x:v>single_choice_score_or_interpretation_signal</x:v>
      </x:c>
    </x:row>
    <x:row r="45">
      <x:c r="A45" s="13" t="str">
        <x:v>316</x:v>
      </x:c>
      <x:c r="B45" s="13" t="str">
        <x:v>G3_3</x:v>
      </x:c>
      <x:c r="C45" s="13" t="str">
        <x:v>R10_D19_Q03</x:v>
      </x:c>
      <x:c r="D45" s="13" t="str">
        <x:v>R08_D15_Q03</x:v>
      </x:c>
      <x:c r="E45" s="13" t="str">
        <x:v>D19</x:v>
      </x:c>
      <x:c r="F45" s="13" t="str">
        <x:v>D15</x:v>
      </x:c>
      <x:c r="G45" s="13" t="str">
        <x:v>Application clarity and storytelling</x:v>
      </x:c>
      <x:c r="H45" s="13" t="str">
        <x:v>R10</x:v>
      </x:c>
      <x:c r="I45" s="13" t="str">
        <x:v>R08</x:v>
      </x:c>
      <x:c r="J45" s="13" t="str">
        <x:v>Proposal Quality</x:v>
      </x:c>
      <x:c r="K45" s="13" t="str">
        <x:v>Application quality &amp; storytelling</x:v>
      </x:c>
      <x:c r="L45" s="13" t="str">
        <x:v>3 Application Submitted; 4 Proposal Review</x:v>
      </x:c>
      <x:c r="M45" s="13" t="str">
        <x:v>108</x:v>
      </x:c>
      <x:c r="N45" s="13" t="str">
        <x:v>single_choice_score_or_interpretation_signal</x:v>
      </x:c>
    </x:row>
    <x:row r="46">
      <x:c r="A46" s="13" t="str">
        <x:v>317</x:v>
      </x:c>
      <x:c r="B46" s="13" t="str">
        <x:v>G3_4</x:v>
      </x:c>
      <x:c r="C46" s="13" t="str">
        <x:v>R09_D18_Q02</x:v>
      </x:c>
      <x:c r="D46" s="13" t="str">
        <x:v>R09_D17_Q02</x:v>
      </x:c>
      <x:c r="E46" s="13" t="str">
        <x:v>D18</x:v>
      </x:c>
      <x:c r="F46" s="13" t="str">
        <x:v>D17</x:v>
      </x:c>
      <x:c r="G46" s="13" t="str">
        <x:v>Evidence readiness</x:v>
      </x:c>
      <x:c r="H46" s="13" t="str">
        <x:v>R09</x:v>
      </x:c>
      <x:c r="I46" s="13" t="str">
        <x:v>R09</x:v>
      </x:c>
      <x:c r="J46" s="13" t="str">
        <x:v>Trust Signal</x:v>
      </x:c>
      <x:c r="K46" s="13" t="str">
        <x:v>Coherence, evidence &amp; social proof</x:v>
      </x:c>
      <x:c r="L46" s="13" t="str">
        <x:v>4 Proposal Review; 6 Due Diligence</x:v>
      </x:c>
      <x:c r="M46" s="13" t="str">
        <x:v>109</x:v>
      </x:c>
      <x:c r="N46" s="13" t="str">
        <x:v>single_choice_score_or_interpretation_signal</x:v>
      </x:c>
    </x:row>
    <x:row r="47">
      <x:c r="A47" s="13" t="str">
        <x:v>318</x:v>
      </x:c>
      <x:c r="B47" s="13" t="str">
        <x:v>G3_5</x:v>
      </x:c>
      <x:c r="C47" s="13" t="str">
        <x:v>R10_D19_Q04</x:v>
      </x:c>
      <x:c r="D47" s="13" t="str">
        <x:v>R08_D15_Q04</x:v>
      </x:c>
      <x:c r="E47" s="13" t="str">
        <x:v>D19</x:v>
      </x:c>
      <x:c r="F47" s="13" t="str">
        <x:v>D15</x:v>
      </x:c>
      <x:c r="G47" s="13" t="str">
        <x:v>Application clarity and storytelling</x:v>
      </x:c>
      <x:c r="H47" s="13" t="str">
        <x:v>R10</x:v>
      </x:c>
      <x:c r="I47" s="13" t="str">
        <x:v>R08</x:v>
      </x:c>
      <x:c r="J47" s="13" t="str">
        <x:v>Proposal Quality</x:v>
      </x:c>
      <x:c r="K47" s="13" t="str">
        <x:v>Application quality &amp; storytelling</x:v>
      </x:c>
      <x:c r="L47" s="13" t="str">
        <x:v>3 Application Submitted; 4 Proposal Review</x:v>
      </x:c>
      <x:c r="M47" s="13" t="str">
        <x:v>108</x:v>
      </x:c>
      <x:c r="N47" s="13" t="str">
        <x:v>single_choice_score_or_interpretation_signal</x:v>
      </x:c>
    </x:row>
    <x:row r="48">
      <x:c r="A48" s="13" t="str">
        <x:v>319</x:v>
      </x:c>
      <x:c r="B48" s="13" t="str">
        <x:v>G3_6</x:v>
      </x:c>
      <x:c r="C48" s="13" t="str">
        <x:v>R09_D18_Q03</x:v>
      </x:c>
      <x:c r="D48" s="13" t="str">
        <x:v>R09_D17_Q03</x:v>
      </x:c>
      <x:c r="E48" s="13" t="str">
        <x:v>D18</x:v>
      </x:c>
      <x:c r="F48" s="13" t="str">
        <x:v>D17</x:v>
      </x:c>
      <x:c r="G48" s="13" t="str">
        <x:v>Evidence readiness</x:v>
      </x:c>
      <x:c r="H48" s="13" t="str">
        <x:v>R09</x:v>
      </x:c>
      <x:c r="I48" s="13" t="str">
        <x:v>R09</x:v>
      </x:c>
      <x:c r="J48" s="13" t="str">
        <x:v>Trust Signal</x:v>
      </x:c>
      <x:c r="K48" s="13" t="str">
        <x:v>Coherence, evidence &amp; social proof</x:v>
      </x:c>
      <x:c r="L48" s="13" t="str">
        <x:v>4 Proposal Review; 6 Due Diligence</x:v>
      </x:c>
      <x:c r="M48" s="13" t="str">
        <x:v>109</x:v>
      </x:c>
      <x:c r="N48" s="13" t="str">
        <x:v>single_choice_score_or_interpretation_signal</x:v>
      </x:c>
    </x:row>
    <x:row r="49">
      <x:c r="A49" s="13" t="str">
        <x:v>320</x:v>
      </x:c>
      <x:c r="B49" s="13" t="str">
        <x:v>G3_7</x:v>
      </x:c>
      <x:c r="C49" s="13" t="str">
        <x:v>R09_D18_Q04</x:v>
      </x:c>
      <x:c r="D49" s="13" t="str">
        <x:v>R09_D17_Q04</x:v>
      </x:c>
      <x:c r="E49" s="13" t="str">
        <x:v>D18</x:v>
      </x:c>
      <x:c r="F49" s="13" t="str">
        <x:v>D17</x:v>
      </x:c>
      <x:c r="G49" s="13" t="str">
        <x:v>Evidence readiness</x:v>
      </x:c>
      <x:c r="H49" s="13" t="str">
        <x:v>R09</x:v>
      </x:c>
      <x:c r="I49" s="13" t="str">
        <x:v>R09</x:v>
      </x:c>
      <x:c r="J49" s="13" t="str">
        <x:v>Trust Signal</x:v>
      </x:c>
      <x:c r="K49" s="13" t="str">
        <x:v>Coherence, evidence &amp; social proof</x:v>
      </x:c>
      <x:c r="L49" s="13" t="str">
        <x:v>4 Proposal Review; 6 Due Diligence</x:v>
      </x:c>
      <x:c r="M49" s="13" t="str">
        <x:v>109</x:v>
      </x:c>
      <x:c r="N49" s="13" t="str">
        <x:v>single_choice_score_or_interpretation_signal</x:v>
      </x:c>
    </x:row>
    <x:row r="50">
      <x:c r="A50" s="13" t="str">
        <x:v>323</x:v>
      </x:c>
      <x:c r="B50" s="13" t="str">
        <x:v>G3_10</x:v>
      </x:c>
      <x:c r="C50" s="13" t="str">
        <x:v>R10_D19_Q05</x:v>
      </x:c>
      <x:c r="D50" s="13" t="str">
        <x:v>R08_D15_Q05</x:v>
      </x:c>
      <x:c r="E50" s="13" t="str">
        <x:v>D19</x:v>
      </x:c>
      <x:c r="F50" s="13" t="str">
        <x:v>D15</x:v>
      </x:c>
      <x:c r="G50" s="13" t="str">
        <x:v>Application clarity and storytelling</x:v>
      </x:c>
      <x:c r="H50" s="13" t="str">
        <x:v>R10</x:v>
      </x:c>
      <x:c r="I50" s="13" t="str">
        <x:v>R08</x:v>
      </x:c>
      <x:c r="J50" s="13" t="str">
        <x:v>Proposal Quality</x:v>
      </x:c>
      <x:c r="K50" s="13" t="str">
        <x:v>Application quality &amp; storytelling</x:v>
      </x:c>
      <x:c r="L50" s="13" t="str">
        <x:v>3 Application Submitted; 4 Proposal Review</x:v>
      </x:c>
      <x:c r="M50" s="13" t="str">
        <x:v>108</x:v>
      </x:c>
      <x:c r="N50" s="13" t="str">
        <x:v>single_choice_score_or_interpretation_signal</x:v>
      </x:c>
    </x:row>
    <x:row r="51">
      <x:c r="A51" s="13" t="str">
        <x:v>321</x:v>
      </x:c>
      <x:c r="B51" s="13" t="str">
        <x:v>G3_8</x:v>
      </x:c>
      <x:c r="C51" s="13" t="str">
        <x:v>R06_D12_Q01</x:v>
      </x:c>
      <x:c r="D51" s="13" t="str">
        <x:v>R05_D10_Q01</x:v>
      </x:c>
      <x:c r="E51" s="13" t="str">
        <x:v>D12</x:v>
      </x:c>
      <x:c r="F51" s="13" t="str">
        <x:v>D10</x:v>
      </x:c>
      <x:c r="G51" s="13" t="str">
        <x:v>Value case and ROI</x:v>
      </x:c>
      <x:c r="H51" s="13" t="str">
        <x:v>R06</x:v>
      </x:c>
      <x:c r="I51" s="13" t="str">
        <x:v>R05</x:v>
      </x:c>
      <x:c r="J51" s="13" t="str">
        <x:v>Competitive Edge</x:v>
      </x:c>
      <x:c r="K51" s="13" t="str">
        <x:v>Competitive positioning, appeal &amp; ROI</x:v>
      </x:c>
      <x:c r="L51" s="13" t="str">
        <x:v>4 Proposal Review</x:v>
      </x:c>
      <x:c r="M51" s="13" t="str">
        <x:v>105</x:v>
      </x:c>
      <x:c r="N51" s="13" t="str">
        <x:v>single_choice_score_or_interpretation_signal</x:v>
      </x:c>
    </x:row>
    <x:row r="52">
      <x:c r="A52" s="13" t="str">
        <x:v>322</x:v>
      </x:c>
      <x:c r="B52" s="13" t="str">
        <x:v>G3_9</x:v>
      </x:c>
      <x:c r="C52" s="13" t="str">
        <x:v>R10_D20_Q01</x:v>
      </x:c>
      <x:c r="D52" s="13" t="str">
        <x:v>R08_D16_Q01</x:v>
      </x:c>
      <x:c r="E52" s="13" t="str">
        <x:v>D20</x:v>
      </x:c>
      <x:c r="F52" s="13" t="str">
        <x:v>D16</x:v>
      </x:c>
      <x:c r="G52" s="13" t="str">
        <x:v>Proposal coherence and budget/story alignment</x:v>
      </x:c>
      <x:c r="H52" s="13" t="str">
        <x:v>R10</x:v>
      </x:c>
      <x:c r="I52" s="13" t="str">
        <x:v>R08</x:v>
      </x:c>
      <x:c r="J52" s="13" t="str">
        <x:v>Proposal Quality</x:v>
      </x:c>
      <x:c r="K52" s="13" t="str">
        <x:v>Application quality &amp; storytelling</x:v>
      </x:c>
      <x:c r="L52" s="13" t="str">
        <x:v>3 Application Submitted; 4 Proposal Review</x:v>
      </x:c>
      <x:c r="M52" s="13" t="str">
        <x:v>108</x:v>
      </x:c>
      <x:c r="N52" s="13" t="str">
        <x:v>single_choice_score_or_interpretation_signal</x:v>
      </x:c>
    </x:row>
    <x:row r="53">
      <x:c r="A53" s="13" t="str">
        <x:v>328</x:v>
      </x:c>
      <x:c r="B53" s="13" t="str">
        <x:v>G4_5</x:v>
      </x:c>
      <x:c r="C53" s="13" t="str">
        <x:v>R09_D18_Q05</x:v>
      </x:c>
      <x:c r="D53" s="13" t="str">
        <x:v>R09_D17_Q05</x:v>
      </x:c>
      <x:c r="E53" s="13" t="str">
        <x:v>D18</x:v>
      </x:c>
      <x:c r="F53" s="13" t="str">
        <x:v>D17</x:v>
      </x:c>
      <x:c r="G53" s="13" t="str">
        <x:v>Evidence readiness</x:v>
      </x:c>
      <x:c r="H53" s="13" t="str">
        <x:v>R09</x:v>
      </x:c>
      <x:c r="I53" s="13" t="str">
        <x:v>R09</x:v>
      </x:c>
      <x:c r="J53" s="13" t="str">
        <x:v>Trust Signal</x:v>
      </x:c>
      <x:c r="K53" s="13" t="str">
        <x:v>Coherence, evidence &amp; social proof</x:v>
      </x:c>
      <x:c r="L53" s="13" t="str">
        <x:v>4 Proposal Review; 6 Due Diligence</x:v>
      </x:c>
      <x:c r="M53" s="13" t="str">
        <x:v>109</x:v>
      </x:c>
      <x:c r="N53" s="13" t="str">
        <x:v>single_choice_score_or_interpretation_signal</x:v>
      </x:c>
    </x:row>
    <x:row r="54">
      <x:c r="A54" s="13" t="str">
        <x:v>391</x:v>
      </x:c>
      <x:c r="B54" s="13" t="str">
        <x:v>D_READINESS_MATRIX</x:v>
      </x:c>
      <x:c r="C54" s="13" t="str">
        <x:v>R01_D02_DOC_READINESS</x:v>
      </x:c>
      <x:c r="D54" s="13" t="str">
        <x:v>R10_D20_Q02</x:v>
      </x:c>
      <x:c r="E54" s="13" t="str">
        <x:v>D02</x:v>
      </x:c>
      <x:c r="F54" s="13" t="str">
        <x:v>D20</x:v>
      </x:c>
      <x:c r="G54" s="13" t="str">
        <x:v>Protected evidence protocol</x:v>
      </x:c>
      <x:c r="H54" s="13" t="str">
        <x:v>R01</x:v>
      </x:c>
      <x:c r="I54" s="13" t="str">
        <x:v>R10</x:v>
      </x:c>
      <x:c r="J54" s="13" t="str">
        <x:v>Context &amp; Safety</x:v>
      </x:c>
      <x:c r="K54" s="13" t="str">
        <x:v>Safeguarding &amp; protected proof</x:v>
      </x:c>
      <x:c r="L54" s="13" t="str">
        <x:v>6 Due Diligence</x:v>
      </x:c>
      <x:c r="M54" s="13" t="str">
        <x:v>110</x:v>
      </x:c>
      <x:c r="N54" s="13" t="str">
        <x:v>document_evidence_matrix; protected evidence and N/A are safety modifiers, not failure scores</x:v>
      </x:c>
    </x:row>
    <x:row r="55">
      <x:c r="A55" s="13" t="str">
        <x:v>226</x:v>
      </x:c>
      <x:c r="B55" s="13" t="str">
        <x:v>OP_02</x:v>
      </x:c>
      <x:c r="C55" s="13" t="str">
        <x:v>R08_D16_Q01</x:v>
      </x:c>
      <x:c r="D55" s="13" t="str">
        <x:v>R07_D14_Q01</x:v>
      </x:c>
      <x:c r="E55" s="13" t="str">
        <x:v>D16</x:v>
      </x:c>
      <x:c r="F55" s="13" t="str">
        <x:v>D14</x:v>
      </x:c>
      <x:c r="G55" s="13" t="str">
        <x:v>Leadership visibility</x:v>
      </x:c>
      <x:c r="H55" s="13" t="str">
        <x:v>R08</x:v>
      </x:c>
      <x:c r="I55" s="13" t="str">
        <x:v>R07</x:v>
      </x:c>
      <x:c r="J55" s="13" t="str">
        <x:v>Relationship Capital</x:v>
      </x:c>
      <x:c r="K55" s="13" t="str">
        <x:v>Relationship, leadership &amp; visibility</x:v>
      </x:c>
      <x:c r="L55" s="13" t="str">
        <x:v>5 Conversation / Clarification; 8 Award / Renewal</x:v>
      </x:c>
      <x:c r="M55" s="13" t="str">
        <x:v>107</x:v>
      </x:c>
      <x:c r="N55" s="13" t="str">
        <x:v>profile_or_context_signal; use for report personalisation and interpretation</x:v>
      </x:c>
    </x:row>
    <x:row r="56">
      <x:c r="A56" s="13" t="str">
        <x:v>313</x:v>
      </x:c>
      <x:c r="B56" s="13" t="str">
        <x:v>G2_9</x:v>
      </x:c>
      <x:c r="C56" s="13" t="str">
        <x:v>R08_D16_Q02</x:v>
      </x:c>
      <x:c r="D56" s="13" t="str">
        <x:v>R07_D14_Q02</x:v>
      </x:c>
      <x:c r="E56" s="13" t="str">
        <x:v>D16</x:v>
      </x:c>
      <x:c r="F56" s="13" t="str">
        <x:v>D14</x:v>
      </x:c>
      <x:c r="G56" s="13" t="str">
        <x:v>Leadership visibility</x:v>
      </x:c>
      <x:c r="H56" s="13" t="str">
        <x:v>R08</x:v>
      </x:c>
      <x:c r="I56" s="13" t="str">
        <x:v>R07</x:v>
      </x:c>
      <x:c r="J56" s="13" t="str">
        <x:v>Relationship Capital</x:v>
      </x:c>
      <x:c r="K56" s="13" t="str">
        <x:v>Relationship, leadership &amp; visibility</x:v>
      </x:c>
      <x:c r="L56" s="13" t="str">
        <x:v>5 Conversation / Clarification; 8 Award / Renewal</x:v>
      </x:c>
      <x:c r="M56" s="13" t="str">
        <x:v>107</x:v>
      </x:c>
      <x:c r="N56" s="13" t="str">
        <x:v>single_choice_score_or_interpretation_signal</x:v>
      </x:c>
    </x:row>
    <x:row r="57">
      <x:c r="A57" s="13" t="str">
        <x:v>332</x:v>
      </x:c>
      <x:c r="B57" s="13" t="str">
        <x:v>G4_9</x:v>
      </x:c>
      <x:c r="C57" s="13" t="str">
        <x:v>R09_D17_Q01</x:v>
      </x:c>
      <x:c r="D57" s="13" t="str">
        <x:v>R09_D18_Q01</x:v>
      </x:c>
      <x:c r="E57" s="13" t="str">
        <x:v>D17</x:v>
      </x:c>
      <x:c r="F57" s="13" t="str">
        <x:v>D18</x:v>
      </x:c>
      <x:c r="G57" s="13" t="str">
        <x:v>Social proof and references</x:v>
      </x:c>
      <x:c r="H57" s="13" t="str">
        <x:v>R09</x:v>
      </x:c>
      <x:c r="I57" s="13" t="str">
        <x:v>R09</x:v>
      </x:c>
      <x:c r="J57" s="13" t="str">
        <x:v>Trust Signal</x:v>
      </x:c>
      <x:c r="K57" s="13" t="str">
        <x:v>Coherence, evidence &amp; social proof</x:v>
      </x:c>
      <x:c r="L57" s="13" t="str">
        <x:v>6 Due Diligence</x:v>
      </x:c>
      <x:c r="M57" s="13" t="str">
        <x:v>109</x:v>
      </x:c>
      <x:c r="N57" s="13" t="str">
        <x:v>single_choice_score_or_interpretation_signal</x:v>
      </x:c>
    </x:row>
    <x:row r="58">
      <x:c r="A58" s="13" t="str">
        <x:v>333</x:v>
      </x:c>
      <x:c r="B58" s="13" t="str">
        <x:v>G4_10</x:v>
      </x:c>
      <x:c r="C58" s="13" t="str">
        <x:v>R09_D17_Q02</x:v>
      </x:c>
      <x:c r="D58" s="13" t="str">
        <x:v>R09_D18_Q02</x:v>
      </x:c>
      <x:c r="E58" s="13" t="str">
        <x:v>D17</x:v>
      </x:c>
      <x:c r="F58" s="13" t="str">
        <x:v>D18</x:v>
      </x:c>
      <x:c r="G58" s="13" t="str">
        <x:v>Social proof and references</x:v>
      </x:c>
      <x:c r="H58" s="13" t="str">
        <x:v>R09</x:v>
      </x:c>
      <x:c r="I58" s="13" t="str">
        <x:v>R09</x:v>
      </x:c>
      <x:c r="J58" s="13" t="str">
        <x:v>Trust Signal</x:v>
      </x:c>
      <x:c r="K58" s="13" t="str">
        <x:v>Coherence, evidence &amp; social proof</x:v>
      </x:c>
      <x:c r="L58" s="13" t="str">
        <x:v>6 Due Diligence</x:v>
      </x:c>
      <x:c r="M58" s="13" t="str">
        <x:v>109</x:v>
      </x:c>
      <x:c r="N58" s="13" t="str">
        <x:v>single_choice_score_or_interpretation_signal</x:v>
      </x:c>
    </x:row>
    <x:row r="59">
      <x:c r="A59" s="13" t="str">
        <x:v>382</x:v>
      </x:c>
      <x:c r="B59" s="13" t="str">
        <x:v>G10_6</x:v>
      </x:c>
      <x:c r="C59" s="13" t="str">
        <x:v>R08_D15_Q03</x:v>
      </x:c>
      <x:c r="D59" s="13" t="str">
        <x:v>R07_D13_Q03</x:v>
      </x:c>
      <x:c r="E59" s="13" t="str">
        <x:v>D15</x:v>
      </x:c>
      <x:c r="F59" s="13" t="str">
        <x:v>D13</x:v>
      </x:c>
      <x:c r="G59" s="13" t="str">
        <x:v>Relationship management</x:v>
      </x:c>
      <x:c r="H59" s="13" t="str">
        <x:v>R08</x:v>
      </x:c>
      <x:c r="I59" s="13" t="str">
        <x:v>R07</x:v>
      </x:c>
      <x:c r="J59" s="13" t="str">
        <x:v>Relationship Capital</x:v>
      </x:c>
      <x:c r="K59" s="13" t="str">
        <x:v>Relationship, leadership &amp; visibility</x:v>
      </x:c>
      <x:c r="L59" s="13" t="str">
        <x:v>5 Conversation / Clarification; 8 Award / Renewal</x:v>
      </x:c>
      <x:c r="M59" s="13" t="str">
        <x:v>107</x:v>
      </x:c>
      <x:c r="N59" s="13" t="str">
        <x:v>single_choice_score_or_interpretation_signal</x:v>
      </x:c>
    </x:row>
    <x:row r="60">
      <x:c r="A60" s="13" t="str">
        <x:v>305</x:v>
      </x:c>
      <x:c r="B60" s="13" t="str">
        <x:v>G2_1</x:v>
      </x:c>
      <x:c r="C60" s="13" t="str">
        <x:v>R11_D21_Q02</x:v>
      </x:c>
      <x:c r="D60" s="13" t="str">
        <x:v>R11_D21_Q02</x:v>
      </x:c>
      <x:c r="E60" s="13" t="str">
        <x:v>D21</x:v>
      </x:c>
      <x:c r="F60" s="13" t="str">
        <x:v>D21</x:v>
      </x:c>
      <x:c r="G60" s="13" t="str">
        <x:v>Governance and controls</x:v>
      </x:c>
      <x:c r="H60" s="13" t="str">
        <x:v>R11</x:v>
      </x:c>
      <x:c r="I60" s="13" t="str">
        <x:v>R11</x:v>
      </x:c>
      <x:c r="J60" s="13" t="str">
        <x:v>Governance &amp; Ops</x:v>
      </x:c>
      <x:c r="K60" s="13" t="str">
        <x:v>Due diligence, finance &amp; risk</x:v>
      </x:c>
      <x:c r="L60" s="13" t="str">
        <x:v>6 Due Diligence; 7 Budget / Contract</x:v>
      </x:c>
      <x:c r="M60" s="13" t="str">
        <x:v>111</x:v>
      </x:c>
      <x:c r="N60" s="13" t="str">
        <x:v>single_choice_score_or_interpretation_signal</x:v>
      </x:c>
    </x:row>
    <x:row r="61">
      <x:c r="A61" s="13" t="str">
        <x:v>306</x:v>
      </x:c>
      <x:c r="B61" s="13" t="str">
        <x:v>G2_2</x:v>
      </x:c>
      <x:c r="C61" s="13" t="str">
        <x:v>R11_D21_Q03</x:v>
      </x:c>
      <x:c r="D61" s="13" t="str">
        <x:v>R11_D21_Q03</x:v>
      </x:c>
      <x:c r="E61" s="13" t="str">
        <x:v>D21</x:v>
      </x:c>
      <x:c r="F61" s="13" t="str">
        <x:v>D21</x:v>
      </x:c>
      <x:c r="G61" s="13" t="str">
        <x:v>Governance and controls</x:v>
      </x:c>
      <x:c r="H61" s="13" t="str">
        <x:v>R11</x:v>
      </x:c>
      <x:c r="I61" s="13" t="str">
        <x:v>R11</x:v>
      </x:c>
      <x:c r="J61" s="13" t="str">
        <x:v>Governance &amp; Ops</x:v>
      </x:c>
      <x:c r="K61" s="13" t="str">
        <x:v>Due diligence, finance &amp; risk</x:v>
      </x:c>
      <x:c r="L61" s="13" t="str">
        <x:v>6 Due Diligence; 7 Budget / Contract</x:v>
      </x:c>
      <x:c r="M61" s="13" t="str">
        <x:v>111</x:v>
      </x:c>
      <x:c r="N61" s="13" t="str">
        <x:v>single_choice_score_or_interpretation_signal</x:v>
      </x:c>
    </x:row>
    <x:row r="62">
      <x:c r="A62" s="13" t="str">
        <x:v>308</x:v>
      </x:c>
      <x:c r="B62" s="13" t="str">
        <x:v>G2_4</x:v>
      </x:c>
      <x:c r="C62" s="13" t="str">
        <x:v>R11_D22_Q02</x:v>
      </x:c>
      <x:c r="D62" s="13" t="str">
        <x:v>R11_D22_Q02</x:v>
      </x:c>
      <x:c r="E62" s="13" t="str">
        <x:v>D22</x:v>
      </x:c>
      <x:c r="F62" s="13" t="str">
        <x:v>D22</x:v>
      </x:c>
      <x:c r="G62" s="13" t="str">
        <x:v>Finance and risk readiness</x:v>
      </x:c>
      <x:c r="H62" s="13" t="str">
        <x:v>R11</x:v>
      </x:c>
      <x:c r="I62" s="13" t="str">
        <x:v>R11</x:v>
      </x:c>
      <x:c r="J62" s="13" t="str">
        <x:v>Governance &amp; Ops</x:v>
      </x:c>
      <x:c r="K62" s="13" t="str">
        <x:v>Due diligence, finance &amp; risk</x:v>
      </x:c>
      <x:c r="L62" s="13" t="str">
        <x:v>6 Due Diligence; 7 Budget / Contract</x:v>
      </x:c>
      <x:c r="M62" s="13" t="str">
        <x:v>111</x:v>
      </x:c>
      <x:c r="N62" s="13" t="str">
        <x:v>single_choice_score_or_interpretation_signal</x:v>
      </x:c>
    </x:row>
    <x:row r="63">
      <x:c r="A63" s="13" t="str">
        <x:v>309</x:v>
      </x:c>
      <x:c r="B63" s="13" t="str">
        <x:v>G2_5</x:v>
      </x:c>
      <x:c r="C63" s="13" t="str">
        <x:v>R11_D22_Q03</x:v>
      </x:c>
      <x:c r="D63" s="13" t="str">
        <x:v>R11_D22_Q03</x:v>
      </x:c>
      <x:c r="E63" s="13" t="str">
        <x:v>D22</x:v>
      </x:c>
      <x:c r="F63" s="13" t="str">
        <x:v>D22</x:v>
      </x:c>
      <x:c r="G63" s="13" t="str">
        <x:v>Finance and risk readiness</x:v>
      </x:c>
      <x:c r="H63" s="13" t="str">
        <x:v>R11</x:v>
      </x:c>
      <x:c r="I63" s="13" t="str">
        <x:v>R11</x:v>
      </x:c>
      <x:c r="J63" s="13" t="str">
        <x:v>Governance &amp; Ops</x:v>
      </x:c>
      <x:c r="K63" s="13" t="str">
        <x:v>Due diligence, finance &amp; risk</x:v>
      </x:c>
      <x:c r="L63" s="13" t="str">
        <x:v>6 Due Diligence; 7 Budget / Contract</x:v>
      </x:c>
      <x:c r="M63" s="13" t="str">
        <x:v>111</x:v>
      </x:c>
      <x:c r="N63" s="13" t="str">
        <x:v>single_choice_score_or_interpretation_signal</x:v>
      </x:c>
    </x:row>
    <x:row r="64">
      <x:c r="A64" s="13" t="str">
        <x:v>311</x:v>
      </x:c>
      <x:c r="B64" s="13" t="str">
        <x:v>G2_7</x:v>
      </x:c>
      <x:c r="C64" s="13" t="str">
        <x:v>R11_D21_Q04</x:v>
      </x:c>
      <x:c r="D64" s="13" t="str">
        <x:v>R11_D21_Q04</x:v>
      </x:c>
      <x:c r="E64" s="13" t="str">
        <x:v>D21</x:v>
      </x:c>
      <x:c r="F64" s="13" t="str">
        <x:v>D21</x:v>
      </x:c>
      <x:c r="G64" s="13" t="str">
        <x:v>Governance and controls</x:v>
      </x:c>
      <x:c r="H64" s="13" t="str">
        <x:v>R11</x:v>
      </x:c>
      <x:c r="I64" s="13" t="str">
        <x:v>R11</x:v>
      </x:c>
      <x:c r="J64" s="13" t="str">
        <x:v>Governance &amp; Ops</x:v>
      </x:c>
      <x:c r="K64" s="13" t="str">
        <x:v>Due diligence, finance &amp; risk</x:v>
      </x:c>
      <x:c r="L64" s="13" t="str">
        <x:v>6 Due Diligence; 7 Budget / Contract</x:v>
      </x:c>
      <x:c r="M64" s="13" t="str">
        <x:v>111</x:v>
      </x:c>
      <x:c r="N64" s="13" t="str">
        <x:v>single_choice_score_or_interpretation_signal</x:v>
      </x:c>
    </x:row>
    <x:row r="65">
      <x:c r="A65" s="13" t="str">
        <x:v>329</x:v>
      </x:c>
      <x:c r="B65" s="13" t="str">
        <x:v>G4_6</x:v>
      </x:c>
      <x:c r="C65" s="13" t="str">
        <x:v>R11_D21_Q05</x:v>
      </x:c>
      <x:c r="D65" s="13" t="str">
        <x:v>R11_D21_Q05</x:v>
      </x:c>
      <x:c r="E65" s="13" t="str">
        <x:v>D21</x:v>
      </x:c>
      <x:c r="F65" s="13" t="str">
        <x:v>D21</x:v>
      </x:c>
      <x:c r="G65" s="13" t="str">
        <x:v>Governance and controls</x:v>
      </x:c>
      <x:c r="H65" s="13" t="str">
        <x:v>R11</x:v>
      </x:c>
      <x:c r="I65" s="13" t="str">
        <x:v>R11</x:v>
      </x:c>
      <x:c r="J65" s="13" t="str">
        <x:v>Governance &amp; Ops</x:v>
      </x:c>
      <x:c r="K65" s="13" t="str">
        <x:v>Due diligence, finance &amp; risk</x:v>
      </x:c>
      <x:c r="L65" s="13" t="str">
        <x:v>6 Due Diligence; 7 Budget / Contract</x:v>
      </x:c>
      <x:c r="M65" s="13" t="str">
        <x:v>111</x:v>
      </x:c>
      <x:c r="N65" s="13" t="str">
        <x:v>single_choice_score_or_interpretation_signal</x:v>
      </x:c>
    </x:row>
    <x:row r="66">
      <x:c r="A66" s="13" t="str">
        <x:v>330</x:v>
      </x:c>
      <x:c r="B66" s="13" t="str">
        <x:v>G4_7</x:v>
      </x:c>
      <x:c r="C66" s="13" t="str">
        <x:v>R11_D21_Q06</x:v>
      </x:c>
      <x:c r="D66" s="13" t="str">
        <x:v>R11_D21_Q06</x:v>
      </x:c>
      <x:c r="E66" s="13" t="str">
        <x:v>D21</x:v>
      </x:c>
      <x:c r="F66" s="13" t="str">
        <x:v>D21</x:v>
      </x:c>
      <x:c r="G66" s="13" t="str">
        <x:v>Governance and controls</x:v>
      </x:c>
      <x:c r="H66" s="13" t="str">
        <x:v>R11</x:v>
      </x:c>
      <x:c r="I66" s="13" t="str">
        <x:v>R11</x:v>
      </x:c>
      <x:c r="J66" s="13" t="str">
        <x:v>Governance &amp; Ops</x:v>
      </x:c>
      <x:c r="K66" s="13" t="str">
        <x:v>Due diligence, finance &amp; risk</x:v>
      </x:c>
      <x:c r="L66" s="13" t="str">
        <x:v>6 Due Diligence; 7 Budget / Contract</x:v>
      </x:c>
      <x:c r="M66" s="13" t="str">
        <x:v>111</x:v>
      </x:c>
      <x:c r="N66" s="13" t="str">
        <x:v>single_choice_score_or_interpretation_signal</x:v>
      </x:c>
    </x:row>
    <x:row r="67">
      <x:c r="A67" s="13" t="str">
        <x:v>310</x:v>
      </x:c>
      <x:c r="B67" s="13" t="str">
        <x:v>G2_6</x:v>
      </x:c>
      <x:c r="C67" s="13" t="str">
        <x:v>R11_D22_Q04</x:v>
      </x:c>
      <x:c r="D67" s="13" t="str">
        <x:v>R11_D22_Q04</x:v>
      </x:c>
      <x:c r="E67" s="13" t="str">
        <x:v>D22</x:v>
      </x:c>
      <x:c r="F67" s="13" t="str">
        <x:v>D22</x:v>
      </x:c>
      <x:c r="G67" s="13" t="str">
        <x:v>Finance and risk readiness</x:v>
      </x:c>
      <x:c r="H67" s="13" t="str">
        <x:v>R11</x:v>
      </x:c>
      <x:c r="I67" s="13" t="str">
        <x:v>R11</x:v>
      </x:c>
      <x:c r="J67" s="13" t="str">
        <x:v>Governance &amp; Ops</x:v>
      </x:c>
      <x:c r="K67" s="13" t="str">
        <x:v>Due diligence, finance &amp; risk</x:v>
      </x:c>
      <x:c r="L67" s="13" t="str">
        <x:v>6 Due Diligence; 7 Budget / Contract</x:v>
      </x:c>
      <x:c r="M67" s="13" t="str">
        <x:v>111</x:v>
      </x:c>
      <x:c r="N67" s="13" t="str">
        <x:v>single_choice_score_or_interpretation_signal</x:v>
      </x:c>
    </x:row>
    <x:row r="68">
      <x:c r="A68" s="13" t="str">
        <x:v>334</x:v>
      </x:c>
      <x:c r="B68" s="13" t="str">
        <x:v>G5_1</x:v>
      </x:c>
      <x:c r="C68" s="13" t="str">
        <x:v>R12_D24_Q01</x:v>
      </x:c>
      <x:c r="D68" s="13" t="str">
        <x:v>R12_D23_Q01</x:v>
      </x:c>
      <x:c r="E68" s="13" t="str">
        <x:v>D24</x:v>
      </x:c>
      <x:c r="F68" s="13" t="str">
        <x:v>D23</x:v>
      </x:c>
      <x:c r="G68" s="13" t="str">
        <x:v>Grant management and renewal</x:v>
      </x:c>
      <x:c r="H68" s="13" t="str">
        <x:v>R12</x:v>
      </x:c>
      <x:c r="I68" s="13" t="str">
        <x:v>R12</x:v>
      </x:c>
      <x:c r="J68" s="13" t="str">
        <x:v>Financial Health</x:v>
      </x:c>
      <x:c r="K68" s="13" t="str">
        <x:v>Grant management &amp; sustainability</x:v>
      </x:c>
      <x:c r="L68" s="13" t="str">
        <x:v>8 Award / Renewal</x:v>
      </x:c>
      <x:c r="M68" s="13" t="str">
        <x:v>112</x:v>
      </x:c>
      <x:c r="N68" s="13" t="str">
        <x:v>single_choice_score_or_interpretation_signal</x:v>
      </x:c>
    </x:row>
    <x:row r="69">
      <x:c r="A69" s="13" t="str">
        <x:v>335</x:v>
      </x:c>
      <x:c r="B69" s="13" t="str">
        <x:v>G5_2</x:v>
      </x:c>
      <x:c r="C69" s="13" t="str">
        <x:v>R12_D24_Q02</x:v>
      </x:c>
      <x:c r="D69" s="13" t="str">
        <x:v>R12_D23_Q02</x:v>
      </x:c>
      <x:c r="E69" s="13" t="str">
        <x:v>D24</x:v>
      </x:c>
      <x:c r="F69" s="13" t="str">
        <x:v>D23</x:v>
      </x:c>
      <x:c r="G69" s="13" t="str">
        <x:v>Grant management and renewal</x:v>
      </x:c>
      <x:c r="H69" s="13" t="str">
        <x:v>R12</x:v>
      </x:c>
      <x:c r="I69" s="13" t="str">
        <x:v>R12</x:v>
      </x:c>
      <x:c r="J69" s="13" t="str">
        <x:v>Financial Health</x:v>
      </x:c>
      <x:c r="K69" s="13" t="str">
        <x:v>Grant management &amp; sustainability</x:v>
      </x:c>
      <x:c r="L69" s="13" t="str">
        <x:v>8 Award / Renewal</x:v>
      </x:c>
      <x:c r="M69" s="13" t="str">
        <x:v>112</x:v>
      </x:c>
      <x:c r="N69" s="13" t="str">
        <x:v>single_choice_score_or_interpretation_signal</x:v>
      </x:c>
    </x:row>
    <x:row r="70">
      <x:c r="A70" s="13" t="str">
        <x:v>336</x:v>
      </x:c>
      <x:c r="B70" s="13" t="str">
        <x:v>G5_3</x:v>
      </x:c>
      <x:c r="C70" s="13" t="str">
        <x:v>R12_D24_Q03</x:v>
      </x:c>
      <x:c r="D70" s="13" t="str">
        <x:v>R12_D23_Q03</x:v>
      </x:c>
      <x:c r="E70" s="13" t="str">
        <x:v>D24</x:v>
      </x:c>
      <x:c r="F70" s="13" t="str">
        <x:v>D23</x:v>
      </x:c>
      <x:c r="G70" s="13" t="str">
        <x:v>Grant management and renewal</x:v>
      </x:c>
      <x:c r="H70" s="13" t="str">
        <x:v>R12</x:v>
      </x:c>
      <x:c r="I70" s="13" t="str">
        <x:v>R12</x:v>
      </x:c>
      <x:c r="J70" s="13" t="str">
        <x:v>Financial Health</x:v>
      </x:c>
      <x:c r="K70" s="13" t="str">
        <x:v>Grant management &amp; sustainability</x:v>
      </x:c>
      <x:c r="L70" s="13" t="str">
        <x:v>8 Award / Renewal</x:v>
      </x:c>
      <x:c r="M70" s="13" t="str">
        <x:v>112</x:v>
      </x:c>
      <x:c r="N70" s="13" t="str">
        <x:v>single_choice_score_or_interpretation_signal</x:v>
      </x:c>
    </x:row>
    <x:row r="71">
      <x:c r="A71" s="13" t="str">
        <x:v>338</x:v>
      </x:c>
      <x:c r="B71" s="13" t="str">
        <x:v>G5_5</x:v>
      </x:c>
      <x:c r="C71" s="13" t="str">
        <x:v>R12_D24_Q04</x:v>
      </x:c>
      <x:c r="D71" s="13" t="str">
        <x:v>R12_D23_Q04</x:v>
      </x:c>
      <x:c r="E71" s="13" t="str">
        <x:v>D24</x:v>
      </x:c>
      <x:c r="F71" s="13" t="str">
        <x:v>D23</x:v>
      </x:c>
      <x:c r="G71" s="13" t="str">
        <x:v>Grant management and renewal</x:v>
      </x:c>
      <x:c r="H71" s="13" t="str">
        <x:v>R12</x:v>
      </x:c>
      <x:c r="I71" s="13" t="str">
        <x:v>R12</x:v>
      </x:c>
      <x:c r="J71" s="13" t="str">
        <x:v>Financial Health</x:v>
      </x:c>
      <x:c r="K71" s="13" t="str">
        <x:v>Grant management &amp; sustainability</x:v>
      </x:c>
      <x:c r="L71" s="13" t="str">
        <x:v>8 Award / Renewal</x:v>
      </x:c>
      <x:c r="M71" s="13" t="str">
        <x:v>112</x:v>
      </x:c>
      <x:c r="N71" s="13" t="str">
        <x:v>single_choice_score_or_interpretation_signal</x:v>
      </x:c>
    </x:row>
    <x:row r="72">
      <x:c r="A72" s="13" t="str">
        <x:v>339</x:v>
      </x:c>
      <x:c r="B72" s="13" t="str">
        <x:v>G5_6</x:v>
      </x:c>
      <x:c r="C72" s="13" t="str">
        <x:v>R11_D22_Q05</x:v>
      </x:c>
      <x:c r="D72" s="13" t="str">
        <x:v>R11_D22_Q05</x:v>
      </x:c>
      <x:c r="E72" s="13" t="str">
        <x:v>D22</x:v>
      </x:c>
      <x:c r="F72" s="13" t="str">
        <x:v>D22</x:v>
      </x:c>
      <x:c r="G72" s="13" t="str">
        <x:v>Finance and risk readiness</x:v>
      </x:c>
      <x:c r="H72" s="13" t="str">
        <x:v>R11</x:v>
      </x:c>
      <x:c r="I72" s="13" t="str">
        <x:v>R11</x:v>
      </x:c>
      <x:c r="J72" s="13" t="str">
        <x:v>Governance &amp; Ops</x:v>
      </x:c>
      <x:c r="K72" s="13" t="str">
        <x:v>Due diligence, finance &amp; risk</x:v>
      </x:c>
      <x:c r="L72" s="13" t="str">
        <x:v>6 Due Diligence; 7 Budget / Contract</x:v>
      </x:c>
      <x:c r="M72" s="13" t="str">
        <x:v>111</x:v>
      </x:c>
      <x:c r="N72" s="13" t="str">
        <x:v>single_choice_score_or_interpretation_signal</x:v>
      </x:c>
    </x:row>
    <x:row r="73">
      <x:c r="A73" s="13" t="str">
        <x:v>340</x:v>
      </x:c>
      <x:c r="B73" s="13" t="str">
        <x:v>G5_7</x:v>
      </x:c>
      <x:c r="C73" s="13" t="str">
        <x:v>R11_D22_Q06</x:v>
      </x:c>
      <x:c r="D73" s="13" t="str">
        <x:v>R11_D22_Q06</x:v>
      </x:c>
      <x:c r="E73" s="13" t="str">
        <x:v>D22</x:v>
      </x:c>
      <x:c r="F73" s="13" t="str">
        <x:v>D22</x:v>
      </x:c>
      <x:c r="G73" s="13" t="str">
        <x:v>Finance and risk readiness</x:v>
      </x:c>
      <x:c r="H73" s="13" t="str">
        <x:v>R11</x:v>
      </x:c>
      <x:c r="I73" s="13" t="str">
        <x:v>R11</x:v>
      </x:c>
      <x:c r="J73" s="13" t="str">
        <x:v>Governance &amp; Ops</x:v>
      </x:c>
      <x:c r="K73" s="13" t="str">
        <x:v>Due diligence, finance &amp; risk</x:v>
      </x:c>
      <x:c r="L73" s="13" t="str">
        <x:v>6 Due Diligence; 7 Budget / Contract</x:v>
      </x:c>
      <x:c r="M73" s="13" t="str">
        <x:v>111</x:v>
      </x:c>
      <x:c r="N73" s="13" t="str">
        <x:v>single_choice_score_or_interpretation_signal</x:v>
      </x:c>
    </x:row>
    <x:row r="74">
      <x:c r="A74" s="13" t="str">
        <x:v>341</x:v>
      </x:c>
      <x:c r="B74" s="13" t="str">
        <x:v>G5_8</x:v>
      </x:c>
      <x:c r="C74" s="13" t="str">
        <x:v>R12_D24_Q05</x:v>
      </x:c>
      <x:c r="D74" s="13" t="str">
        <x:v>R12_D23_Q05</x:v>
      </x:c>
      <x:c r="E74" s="13" t="str">
        <x:v>D24</x:v>
      </x:c>
      <x:c r="F74" s="13" t="str">
        <x:v>D23</x:v>
      </x:c>
      <x:c r="G74" s="13" t="str">
        <x:v>Grant management and renewal</x:v>
      </x:c>
      <x:c r="H74" s="13" t="str">
        <x:v>R12</x:v>
      </x:c>
      <x:c r="I74" s="13" t="str">
        <x:v>R12</x:v>
      </x:c>
      <x:c r="J74" s="13" t="str">
        <x:v>Financial Health</x:v>
      </x:c>
      <x:c r="K74" s="13" t="str">
        <x:v>Grant management &amp; sustainability</x:v>
      </x:c>
      <x:c r="L74" s="13" t="str">
        <x:v>8 Award / Renewal</x:v>
      </x:c>
      <x:c r="M74" s="13" t="str">
        <x:v>112</x:v>
      </x:c>
      <x:c r="N74" s="13" t="str">
        <x:v>single_choice_score_or_interpretation_signal</x:v>
      </x:c>
    </x:row>
    <x:row r="75">
      <x:c r="A75" s="13" t="str">
        <x:v>342</x:v>
      </x:c>
      <x:c r="B75" s="13" t="str">
        <x:v>G5_9</x:v>
      </x:c>
      <x:c r="C75" s="13" t="str">
        <x:v>R11_D22_Q07</x:v>
      </x:c>
      <x:c r="D75" s="13" t="str">
        <x:v>R11_D22_Q07</x:v>
      </x:c>
      <x:c r="E75" s="13" t="str">
        <x:v>D22</x:v>
      </x:c>
      <x:c r="F75" s="13" t="str">
        <x:v>D22</x:v>
      </x:c>
      <x:c r="G75" s="13" t="str">
        <x:v>Finance and risk readiness</x:v>
      </x:c>
      <x:c r="H75" s="13" t="str">
        <x:v>R11</x:v>
      </x:c>
      <x:c r="I75" s="13" t="str">
        <x:v>R11</x:v>
      </x:c>
      <x:c r="J75" s="13" t="str">
        <x:v>Governance &amp; Ops</x:v>
      </x:c>
      <x:c r="K75" s="13" t="str">
        <x:v>Due diligence, finance &amp; risk</x:v>
      </x:c>
      <x:c r="L75" s="13" t="str">
        <x:v>6 Due Diligence; 7 Budget / Contract</x:v>
      </x:c>
      <x:c r="M75" s="13" t="str">
        <x:v>111</x:v>
      </x:c>
      <x:c r="N75" s="13" t="str">
        <x:v>single_choice_score_or_interpretation_signal</x:v>
      </x:c>
    </x:row>
    <x:row r="76">
      <x:c r="A76" s="13" t="str">
        <x:v>344</x:v>
      </x:c>
      <x:c r="B76" s="13" t="str">
        <x:v>G5_11</x:v>
      </x:c>
      <x:c r="C76" s="13" t="str">
        <x:v>R12_D23_Q03</x:v>
      </x:c>
      <x:c r="D76" s="13" t="str">
        <x:v>R12_D24_Q03</x:v>
      </x:c>
      <x:c r="E76" s="13" t="str">
        <x:v>D23</x:v>
      </x:c>
      <x:c r="F76" s="13" t="str">
        <x:v>D24</x:v>
      </x:c>
      <x:c r="G76" s="13" t="str">
        <x:v>Sustainability and adaptive capacity</x:v>
      </x:c>
      <x:c r="H76" s="13" t="str">
        <x:v>R12</x:v>
      </x:c>
      <x:c r="I76" s="13" t="str">
        <x:v>R12</x:v>
      </x:c>
      <x:c r="J76" s="13" t="str">
        <x:v>Financial Health</x:v>
      </x:c>
      <x:c r="K76" s="13" t="str">
        <x:v>Grant management &amp; sustainability</x:v>
      </x:c>
      <x:c r="L76" s="13" t="str">
        <x:v>7 Budget / Contract; 8 Award / Renewal</x:v>
      </x:c>
      <x:c r="M76" s="13" t="str">
        <x:v>112</x:v>
      </x:c>
      <x:c r="N76" s="13" t="str">
        <x:v>single_choice_score_or_interpretation_signal</x:v>
      </x:c>
    </x:row>
    <x:row r="77">
      <x:c r="A77" s="13" t="str">
        <x:v>383</x:v>
      </x:c>
      <x:c r="B77" s="13" t="str">
        <x:v>G10_7</x:v>
      </x:c>
      <x:c r="C77" s="13" t="str">
        <x:v>R12_D23_Q04</x:v>
      </x:c>
      <x:c r="D77" s="13" t="str">
        <x:v>R12_D24_Q04</x:v>
      </x:c>
      <x:c r="E77" s="13" t="str">
        <x:v>D23</x:v>
      </x:c>
      <x:c r="F77" s="13" t="str">
        <x:v>D24</x:v>
      </x:c>
      <x:c r="G77" s="13" t="str">
        <x:v>Sustainability and adaptive capacity</x:v>
      </x:c>
      <x:c r="H77" s="13" t="str">
        <x:v>R12</x:v>
      </x:c>
      <x:c r="I77" s="13" t="str">
        <x:v>R12</x:v>
      </x:c>
      <x:c r="J77" s="13" t="str">
        <x:v>Financial Health</x:v>
      </x:c>
      <x:c r="K77" s="13" t="str">
        <x:v>Grant management &amp; sustainability</x:v>
      </x:c>
      <x:c r="L77" s="13" t="str">
        <x:v>7 Budget / Contract; 8 Award / Renewal</x:v>
      </x:c>
      <x:c r="M77" s="13" t="str">
        <x:v>112</x:v>
      </x:c>
      <x:c r="N77" s="13" t="str">
        <x:v>single_choice_score_or_interpretation_signal</x:v>
      </x:c>
    </x:row>
    <x:row r="78">
      <x:c r="A78" s="13" t="str">
        <x:v>350</x:v>
      </x:c>
      <x:c r="B78" s="13" t="str">
        <x:v>G6_6</x:v>
      </x:c>
      <x:c r="C78" s="13" t="str">
        <x:v>R07_D13_Q02</x:v>
      </x:c>
      <x:c r="D78" s="13" t="str">
        <x:v>R06_D11_Q02</x:v>
      </x:c>
      <x:c r="E78" s="13" t="str">
        <x:v>D13</x:v>
      </x:c>
      <x:c r="F78" s="13" t="str">
        <x:v>D11</x:v>
      </x:c>
      <x:c r="G78" s="13" t="str">
        <x:v>Access routes</x:v>
      </x:c>
      <x:c r="H78" s="13" t="str">
        <x:v>R07</x:v>
      </x:c>
      <x:c r="I78" s="13" t="str">
        <x:v>R06</x:v>
      </x:c>
      <x:c r="J78" s="13" t="str">
        <x:v>Network Access</x:v>
      </x:c>
      <x:c r="K78" s="13" t="str">
        <x:v>Network position &amp; access routes</x:v>
      </x:c>
      <x:c r="L78" s="13" t="str">
        <x:v>1 Opportunity Found; 5 Conversation / Clarification</x:v>
      </x:c>
      <x:c r="M78" s="13" t="str">
        <x:v>106</x:v>
      </x:c>
      <x:c r="N78" s="13" t="str">
        <x:v>single_choice_score_or_interpretation_signal</x:v>
      </x:c>
    </x:row>
    <x:row r="79">
      <x:c r="A79" s="13" t="str">
        <x:v>351</x:v>
      </x:c>
      <x:c r="B79" s="13" t="str">
        <x:v>G6_7</x:v>
      </x:c>
      <x:c r="C79" s="13" t="str">
        <x:v>R08_D15_Q04</x:v>
      </x:c>
      <x:c r="D79" s="13" t="str">
        <x:v>R07_D13_Q04</x:v>
      </x:c>
      <x:c r="E79" s="13" t="str">
        <x:v>D15</x:v>
      </x:c>
      <x:c r="F79" s="13" t="str">
        <x:v>D13</x:v>
      </x:c>
      <x:c r="G79" s="13" t="str">
        <x:v>Relationship management</x:v>
      </x:c>
      <x:c r="H79" s="13" t="str">
        <x:v>R08</x:v>
      </x:c>
      <x:c r="I79" s="13" t="str">
        <x:v>R07</x:v>
      </x:c>
      <x:c r="J79" s="13" t="str">
        <x:v>Relationship Capital</x:v>
      </x:c>
      <x:c r="K79" s="13" t="str">
        <x:v>Relationship, leadership &amp; visibility</x:v>
      </x:c>
      <x:c r="L79" s="13" t="str">
        <x:v>5 Conversation / Clarification; 8 Award / Renewal</x:v>
      </x:c>
      <x:c r="M79" s="13" t="str">
        <x:v>107</x:v>
      </x:c>
      <x:c r="N79" s="13" t="str">
        <x:v>single_choice_score_or_interpretation_signal</x:v>
      </x:c>
    </x:row>
    <x:row r="80">
      <x:c r="A80" s="13" t="str">
        <x:v>353</x:v>
      </x:c>
      <x:c r="B80" s="13" t="str">
        <x:v>G6_9</x:v>
      </x:c>
      <x:c r="C80" s="13" t="str">
        <x:v>R07_D14_Q01</x:v>
      </x:c>
      <x:c r="D80" s="13" t="str">
        <x:v>R06_D12_Q01</x:v>
      </x:c>
      <x:c r="E80" s="13" t="str">
        <x:v>D14</x:v>
      </x:c>
      <x:c r="F80" s="13" t="str">
        <x:v>D12</x:v>
      </x:c>
      <x:c r="G80" s="13" t="str">
        <x:v>Referrals and intermediaries</x:v>
      </x:c>
      <x:c r="H80" s="13" t="str">
        <x:v>R07</x:v>
      </x:c>
      <x:c r="I80" s="13" t="str">
        <x:v>R06</x:v>
      </x:c>
      <x:c r="J80" s="13" t="str">
        <x:v>Network Access</x:v>
      </x:c>
      <x:c r="K80" s="13" t="str">
        <x:v>Network position &amp; access routes</x:v>
      </x:c>
      <x:c r="L80" s="13" t="str">
        <x:v>1 Opportunity Found; 5 Conversation / Clarification</x:v>
      </x:c>
      <x:c r="M80" s="13" t="str">
        <x:v>106</x:v>
      </x:c>
      <x:c r="N80" s="13" t="str">
        <x:v>single_choice_score_or_interpretation_signal</x:v>
      </x:c>
    </x:row>
    <x:row r="81">
      <x:c r="A81" s="13" t="str">
        <x:v>364</x:v>
      </x:c>
      <x:c r="B81" s="13" t="str">
        <x:v>G8_1</x:v>
      </x:c>
      <x:c r="C81" s="13" t="str">
        <x:v>R03_D05_Q03</x:v>
      </x:c>
      <x:c r="D81" s="13" t="str">
        <x:v>R02_D03_Q03</x:v>
      </x:c>
      <x:c r="E81" s="13" t="str">
        <x:v>D05</x:v>
      </x:c>
      <x:c r="F81" s="13" t="str">
        <x:v>D03</x:v>
      </x:c>
      <x:c r="G81" s="13" t="str">
        <x:v>Funder market intelligence</x:v>
      </x:c>
      <x:c r="H81" s="13" t="str">
        <x:v>R03</x:v>
      </x:c>
      <x:c r="I81" s="13" t="str">
        <x:v>R02</x:v>
      </x:c>
      <x:c r="J81" s="13" t="str">
        <x:v>Market Intelligence</x:v>
      </x:c>
      <x:c r="K81" s="13" t="str">
        <x:v>Funder intelligence &amp; timing</x:v>
      </x:c>
      <x:c r="L81" s="13" t="str">
        <x:v>1 Opportunity Found</x:v>
      </x:c>
      <x:c r="M81" s="13" t="str">
        <x:v>102</x:v>
      </x:c>
      <x:c r="N81" s="13" t="str">
        <x:v>single_choice_score_or_interpretation_signal</x:v>
      </x:c>
    </x:row>
    <x:row r="82">
      <x:c r="A82" s="13" t="str">
        <x:v>366</x:v>
      </x:c>
      <x:c r="B82" s="13" t="str">
        <x:v>G8_3</x:v>
      </x:c>
      <x:c r="C82" s="13" t="str">
        <x:v>R03_D06_Q01</x:v>
      </x:c>
      <x:c r="D82" s="13" t="str">
        <x:v>R02_D04_Q01</x:v>
      </x:c>
      <x:c r="E82" s="13" t="str">
        <x:v>D06</x:v>
      </x:c>
      <x:c r="F82" s="13" t="str">
        <x:v>D04</x:v>
      </x:c>
      <x:c r="G82" s="13" t="str">
        <x:v>Funder timing and access gates</x:v>
      </x:c>
      <x:c r="H82" s="13" t="str">
        <x:v>R03</x:v>
      </x:c>
      <x:c r="I82" s="13" t="str">
        <x:v>R02</x:v>
      </x:c>
      <x:c r="J82" s="13" t="str">
        <x:v>Market Intelligence</x:v>
      </x:c>
      <x:c r="K82" s="13" t="str">
        <x:v>Funder intelligence &amp; timing</x:v>
      </x:c>
      <x:c r="L82" s="13" t="str">
        <x:v>1 Opportunity Found</x:v>
      </x:c>
      <x:c r="M82" s="13" t="str">
        <x:v>102</x:v>
      </x:c>
      <x:c r="N82" s="13" t="str">
        <x:v>single_choice_score_or_interpretation_signal</x:v>
      </x:c>
    </x:row>
    <x:row r="83">
      <x:c r="A83" s="13" t="str">
        <x:v>367</x:v>
      </x:c>
      <x:c r="B83" s="13" t="str">
        <x:v>G8_4</x:v>
      </x:c>
      <x:c r="C83" s="13" t="str">
        <x:v>R03_D06_Q02</x:v>
      </x:c>
      <x:c r="D83" s="13" t="str">
        <x:v>R02_D04_Q02</x:v>
      </x:c>
      <x:c r="E83" s="13" t="str">
        <x:v>D06</x:v>
      </x:c>
      <x:c r="F83" s="13" t="str">
        <x:v>D04</x:v>
      </x:c>
      <x:c r="G83" s="13" t="str">
        <x:v>Funder timing and access gates</x:v>
      </x:c>
      <x:c r="H83" s="13" t="str">
        <x:v>R03</x:v>
      </x:c>
      <x:c r="I83" s="13" t="str">
        <x:v>R02</x:v>
      </x:c>
      <x:c r="J83" s="13" t="str">
        <x:v>Market Intelligence</x:v>
      </x:c>
      <x:c r="K83" s="13" t="str">
        <x:v>Funder intelligence &amp; timing</x:v>
      </x:c>
      <x:c r="L83" s="13" t="str">
        <x:v>1 Opportunity Found</x:v>
      </x:c>
      <x:c r="M83" s="13" t="str">
        <x:v>102</x:v>
      </x:c>
      <x:c r="N83" s="13" t="str">
        <x:v>single_choice_score_or_interpretation_signal</x:v>
      </x:c>
    </x:row>
    <x:row r="84">
      <x:c r="A84" s="13" t="str">
        <x:v>368</x:v>
      </x:c>
      <x:c r="B84" s="13" t="str">
        <x:v>G8_5</x:v>
      </x:c>
      <x:c r="C84" s="13" t="str">
        <x:v>R04_D07_Q01</x:v>
      </x:c>
      <x:c r="D84" s="13" t="str">
        <x:v>R03_D05_Q01</x:v>
      </x:c>
      <x:c r="E84" s="13" t="str">
        <x:v>D07</x:v>
      </x:c>
      <x:c r="F84" s="13" t="str">
        <x:v>D05</x:v>
      </x:c>
      <x:c r="G84" s="13" t="str">
        <x:v>Pipeline tracking and ownership</x:v>
      </x:c>
      <x:c r="H84" s="13" t="str">
        <x:v>R04</x:v>
      </x:c>
      <x:c r="I84" s="13" t="str">
        <x:v>R03</x:v>
      </x:c>
      <x:c r="J84" s="13" t="str">
        <x:v>Pipeline Discipline</x:v>
      </x:c>
      <x:c r="K84" s="13" t="str">
        <x:v>Fundraising systems &amp; go/no-go</x:v>
      </x:c>
      <x:c r="L84" s="13" t="str">
        <x:v>3 Application Submitted</x:v>
      </x:c>
      <x:c r="M84" s="13" t="str">
        <x:v>103</x:v>
      </x:c>
      <x:c r="N84" s="13" t="str">
        <x:v>single_choice_score_or_interpretation_signal</x:v>
      </x:c>
    </x:row>
    <x:row r="85">
      <x:c r="A85" s="13" t="str">
        <x:v>369</x:v>
      </x:c>
      <x:c r="B85" s="13" t="str">
        <x:v>G8_6</x:v>
      </x:c>
      <x:c r="C85" s="13" t="str">
        <x:v>R03_D06_Q03</x:v>
      </x:c>
      <x:c r="D85" s="13" t="str">
        <x:v>R02_D04_Q03</x:v>
      </x:c>
      <x:c r="E85" s="13" t="str">
        <x:v>D06</x:v>
      </x:c>
      <x:c r="F85" s="13" t="str">
        <x:v>D04</x:v>
      </x:c>
      <x:c r="G85" s="13" t="str">
        <x:v>Funder timing and access gates</x:v>
      </x:c>
      <x:c r="H85" s="13" t="str">
        <x:v>R03</x:v>
      </x:c>
      <x:c r="I85" s="13" t="str">
        <x:v>R02</x:v>
      </x:c>
      <x:c r="J85" s="13" t="str">
        <x:v>Market Intelligence</x:v>
      </x:c>
      <x:c r="K85" s="13" t="str">
        <x:v>Funder intelligence &amp; timing</x:v>
      </x:c>
      <x:c r="L85" s="13" t="str">
        <x:v>1 Opportunity Found</x:v>
      </x:c>
      <x:c r="M85" s="13" t="str">
        <x:v>102</x:v>
      </x:c>
      <x:c r="N85" s="13" t="str">
        <x:v>single_choice_score_or_interpretation_signal</x:v>
      </x:c>
    </x:row>
    <x:row r="86">
      <x:c r="A86" s="13" t="str">
        <x:v>370</x:v>
      </x:c>
      <x:c r="B86" s="13" t="str">
        <x:v>G8_7</x:v>
      </x:c>
      <x:c r="C86" s="13" t="str">
        <x:v>R03_D05_Q04</x:v>
      </x:c>
      <x:c r="D86" s="13" t="str">
        <x:v>R02_D03_Q04</x:v>
      </x:c>
      <x:c r="E86" s="13" t="str">
        <x:v>D05</x:v>
      </x:c>
      <x:c r="F86" s="13" t="str">
        <x:v>D03</x:v>
      </x:c>
      <x:c r="G86" s="13" t="str">
        <x:v>Funder market intelligence</x:v>
      </x:c>
      <x:c r="H86" s="13" t="str">
        <x:v>R03</x:v>
      </x:c>
      <x:c r="I86" s="13" t="str">
        <x:v>R02</x:v>
      </x:c>
      <x:c r="J86" s="13" t="str">
        <x:v>Market Intelligence</x:v>
      </x:c>
      <x:c r="K86" s="13" t="str">
        <x:v>Funder intelligence &amp; timing</x:v>
      </x:c>
      <x:c r="L86" s="13" t="str">
        <x:v>1 Opportunity Found</x:v>
      </x:c>
      <x:c r="M86" s="13" t="str">
        <x:v>102</x:v>
      </x:c>
      <x:c r="N86" s="13" t="str">
        <x:v>single_choice_score_or_interpretation_signal</x:v>
      </x:c>
    </x:row>
    <x:row r="87">
      <x:c r="A87" s="13" t="str">
        <x:v>385</x:v>
      </x:c>
      <x:c r="B87" s="13" t="str">
        <x:v>G11_1</x:v>
      </x:c>
      <x:c r="C87" s="13" t="str">
        <x:v>R04_D07_Q02</x:v>
      </x:c>
      <x:c r="D87" s="13" t="str">
        <x:v>R03_D05_Q02</x:v>
      </x:c>
      <x:c r="E87" s="13" t="str">
        <x:v>D07</x:v>
      </x:c>
      <x:c r="F87" s="13" t="str">
        <x:v>D05</x:v>
      </x:c>
      <x:c r="G87" s="13" t="str">
        <x:v>Pipeline tracking and ownership</x:v>
      </x:c>
      <x:c r="H87" s="13" t="str">
        <x:v>R04</x:v>
      </x:c>
      <x:c r="I87" s="13" t="str">
        <x:v>R03</x:v>
      </x:c>
      <x:c r="J87" s="13" t="str">
        <x:v>Pipeline Discipline</x:v>
      </x:c>
      <x:c r="K87" s="13" t="str">
        <x:v>Fundraising systems &amp; go/no-go</x:v>
      </x:c>
      <x:c r="L87" s="13" t="str">
        <x:v>3 Application Submitted</x:v>
      </x:c>
      <x:c r="M87" s="13" t="str">
        <x:v>103</x:v>
      </x:c>
      <x:c r="N87" s="13" t="str">
        <x:v>single_choice_score_or_interpretation_signal</x:v>
      </x:c>
    </x:row>
    <x:row r="88">
      <x:c r="A88" s="13" t="str">
        <x:v>386</x:v>
      </x:c>
      <x:c r="B88" s="13" t="str">
        <x:v>G11_2</x:v>
      </x:c>
      <x:c r="C88" s="13" t="str">
        <x:v>R04_D07_Q03</x:v>
      </x:c>
      <x:c r="D88" s="13" t="str">
        <x:v>R03_D05_Q03</x:v>
      </x:c>
      <x:c r="E88" s="13" t="str">
        <x:v>D07</x:v>
      </x:c>
      <x:c r="F88" s="13" t="str">
        <x:v>D05</x:v>
      </x:c>
      <x:c r="G88" s="13" t="str">
        <x:v>Pipeline tracking and ownership</x:v>
      </x:c>
      <x:c r="H88" s="13" t="str">
        <x:v>R04</x:v>
      </x:c>
      <x:c r="I88" s="13" t="str">
        <x:v>R03</x:v>
      </x:c>
      <x:c r="J88" s="13" t="str">
        <x:v>Pipeline Discipline</x:v>
      </x:c>
      <x:c r="K88" s="13" t="str">
        <x:v>Fundraising systems &amp; go/no-go</x:v>
      </x:c>
      <x:c r="L88" s="13" t="str">
        <x:v>3 Application Submitted</x:v>
      </x:c>
      <x:c r="M88" s="13" t="str">
        <x:v>103</x:v>
      </x:c>
      <x:c r="N88" s="13" t="str">
        <x:v>single_choice_score_or_interpretation_signal</x:v>
      </x:c>
    </x:row>
    <x:row r="89">
      <x:c r="A89" s="13" t="str">
        <x:v>387</x:v>
      </x:c>
      <x:c r="B89" s="13" t="str">
        <x:v>G11_3</x:v>
      </x:c>
      <x:c r="C89" s="13" t="str">
        <x:v>R04_D07_Q04</x:v>
      </x:c>
      <x:c r="D89" s="13" t="str">
        <x:v>R03_D05_Q04</x:v>
      </x:c>
      <x:c r="E89" s="13" t="str">
        <x:v>D07</x:v>
      </x:c>
      <x:c r="F89" s="13" t="str">
        <x:v>D05</x:v>
      </x:c>
      <x:c r="G89" s="13" t="str">
        <x:v>Pipeline tracking and ownership</x:v>
      </x:c>
      <x:c r="H89" s="13" t="str">
        <x:v>R04</x:v>
      </x:c>
      <x:c r="I89" s="13" t="str">
        <x:v>R03</x:v>
      </x:c>
      <x:c r="J89" s="13" t="str">
        <x:v>Pipeline Discipline</x:v>
      </x:c>
      <x:c r="K89" s="13" t="str">
        <x:v>Fundraising systems &amp; go/no-go</x:v>
      </x:c>
      <x:c r="L89" s="13" t="str">
        <x:v>3 Application Submitted</x:v>
      </x:c>
      <x:c r="M89" s="13" t="str">
        <x:v>103</x:v>
      </x:c>
      <x:c r="N89" s="13" t="str">
        <x:v>single_choice_score_or_interpretation_signal</x:v>
      </x:c>
    </x:row>
    <x:row r="90">
      <x:c r="A90" s="13" t="str">
        <x:v>345</x:v>
      </x:c>
      <x:c r="B90" s="13" t="str">
        <x:v>G6_1</x:v>
      </x:c>
      <x:c r="C90" s="13" t="str">
        <x:v>R07_D14_Q02</x:v>
      </x:c>
      <x:c r="D90" s="13" t="str">
        <x:v>R06_D12_Q02</x:v>
      </x:c>
      <x:c r="E90" s="13" t="str">
        <x:v>D14</x:v>
      </x:c>
      <x:c r="F90" s="13" t="str">
        <x:v>D12</x:v>
      </x:c>
      <x:c r="G90" s="13" t="str">
        <x:v>Referrals and intermediaries</x:v>
      </x:c>
      <x:c r="H90" s="13" t="str">
        <x:v>R07</x:v>
      </x:c>
      <x:c r="I90" s="13" t="str">
        <x:v>R06</x:v>
      </x:c>
      <x:c r="J90" s="13" t="str">
        <x:v>Network Access</x:v>
      </x:c>
      <x:c r="K90" s="13" t="str">
        <x:v>Network position &amp; access routes</x:v>
      </x:c>
      <x:c r="L90" s="13" t="str">
        <x:v>1 Opportunity Found; 5 Conversation / Clarification</x:v>
      </x:c>
      <x:c r="M90" s="13" t="str">
        <x:v>106</x:v>
      </x:c>
      <x:c r="N90" s="13" t="str">
        <x:v>single_choice_score_or_interpretation_signal</x:v>
      </x:c>
    </x:row>
    <x:row r="91">
      <x:c r="A91" s="13" t="str">
        <x:v>5260</x:v>
      </x:c>
      <x:c r="B91" s="13" t="str">
        <x:v>PQC_MATRIX</x:v>
      </x:c>
      <x:c r="C91" s="13" t="str">
        <x:v>R10_D19_PROPOSAL_QC</x:v>
      </x:c>
      <x:c r="D91" s="13" t="str">
        <x:v>R08_D15_PROPOSAL_QC</x:v>
      </x:c>
      <x:c r="E91" s="13" t="str">
        <x:v>D19</x:v>
      </x:c>
      <x:c r="F91" s="13" t="str">
        <x:v>D15</x:v>
      </x:c>
      <x:c r="G91" s="13" t="str">
        <x:v>Application clarity and storytelling</x:v>
      </x:c>
      <x:c r="H91" s="13" t="str">
        <x:v>R10</x:v>
      </x:c>
      <x:c r="I91" s="13" t="str">
        <x:v>R08</x:v>
      </x:c>
      <x:c r="J91" s="13" t="str">
        <x:v>Proposal Quality</x:v>
      </x:c>
      <x:c r="K91" s="13" t="str">
        <x:v>Application quality &amp; storytelling</x:v>
      </x:c>
      <x:c r="L91" s="13" t="str">
        <x:v>3 Application Submitted; 4 Proposal Review</x:v>
      </x:c>
      <x:c r="M91" s="13" t="str">
        <x:v>108</x:v>
      </x:c>
      <x:c r="N91" s="13" t="str">
        <x:v>matrix_rows_as_proposal_quality_metrics</x:v>
      </x:c>
    </x:row>
    <x:row r="92">
      <x:c r="A92" s="13" t="str">
        <x:v>357</x:v>
      </x:c>
      <x:c r="B92" s="13" t="str">
        <x:v>G7_4</x:v>
      </x:c>
      <x:c r="C92" s="13" t="str">
        <x:v>R01_D01_Q04</x:v>
      </x:c>
      <x:c r="D92" s="13" t="str">
        <x:v>R01_D01_Q04</x:v>
      </x:c>
      <x:c r="E92" s="13" t="str">
        <x:v>D01</x:v>
      </x:c>
      <x:c r="F92" s="13" t="str">
        <x:v>D01</x:v>
      </x:c>
      <x:c r="G92" s="13" t="str">
        <x:v>Operating context and safety</x:v>
      </x:c>
      <x:c r="H92" s="13" t="str">
        <x:v>R01</x:v>
      </x:c>
      <x:c r="I92" s="13" t="str">
        <x:v>R01</x:v>
      </x:c>
      <x:c r="J92" s="13" t="str">
        <x:v>Context &amp; Safety</x:v>
      </x:c>
      <x:c r="K92" s="13" t="str">
        <x:v>Context, legal route &amp; compliance</x:v>
      </x:c>
      <x:c r="L92" s="13" t="str">
        <x:v>6 Due Diligence</x:v>
      </x:c>
      <x:c r="M92" s="13" t="str">
        <x:v>101</x:v>
      </x:c>
      <x:c r="N92" s="13" t="str">
        <x:v>single_choice_score_or_interpretation_signal</x:v>
      </x:c>
    </x:row>
    <x:row r="93">
      <x:c r="A93" s="13" t="str">
        <x:v>358</x:v>
      </x:c>
      <x:c r="B93" s="13" t="str">
        <x:v>G7_5</x:v>
      </x:c>
      <x:c r="C93" s="13" t="str">
        <x:v>R01_D01_Q05</x:v>
      </x:c>
      <x:c r="D93" s="13" t="str">
        <x:v>R01_D01_Q05</x:v>
      </x:c>
      <x:c r="E93" s="13" t="str">
        <x:v>D01</x:v>
      </x:c>
      <x:c r="F93" s="13" t="str">
        <x:v>D01</x:v>
      </x:c>
      <x:c r="G93" s="13" t="str">
        <x:v>Operating context and safety</x:v>
      </x:c>
      <x:c r="H93" s="13" t="str">
        <x:v>R01</x:v>
      </x:c>
      <x:c r="I93" s="13" t="str">
        <x:v>R01</x:v>
      </x:c>
      <x:c r="J93" s="13" t="str">
        <x:v>Context &amp; Safety</x:v>
      </x:c>
      <x:c r="K93" s="13" t="str">
        <x:v>Context, legal route &amp; compliance</x:v>
      </x:c>
      <x:c r="L93" s="13" t="str">
        <x:v>6 Due Diligence</x:v>
      </x:c>
      <x:c r="M93" s="13" t="str">
        <x:v>101</x:v>
      </x:c>
      <x:c r="N93" s="13" t="str">
        <x:v>single_choice_score_or_interpretation_signal</x:v>
      </x:c>
    </x:row>
    <x:row r="94">
      <x:c r="A94" s="13" t="str">
        <x:v>360</x:v>
      </x:c>
      <x:c r="B94" s="13" t="str">
        <x:v>G7_7</x:v>
      </x:c>
      <x:c r="C94" s="13" t="str">
        <x:v>R02_D04_Q03</x:v>
      </x:c>
      <x:c r="D94" s="13" t="str">
        <x:v>R01_D02_Q07</x:v>
      </x:c>
      <x:c r="E94" s="13" t="str">
        <x:v>D04</x:v>
      </x:c>
      <x:c r="F94" s="13" t="str">
        <x:v>D02</x:v>
      </x:c>
      <x:c r="G94" s="13" t="str">
        <x:v>Legal and receiving route</x:v>
      </x:c>
      <x:c r="H94" s="13" t="str">
        <x:v>R02</x:v>
      </x:c>
      <x:c r="I94" s="13" t="str">
        <x:v>R01</x:v>
      </x:c>
      <x:c r="J94" s="13" t="str">
        <x:v>Legal Readiness</x:v>
      </x:c>
      <x:c r="K94" s="13" t="str">
        <x:v>Context, legal route &amp; compliance</x:v>
      </x:c>
      <x:c r="L94" s="13" t="str">
        <x:v>2 Eligibility Checked; 6 Due Diligence</x:v>
      </x:c>
      <x:c r="M94" s="13" t="str">
        <x:v>101</x:v>
      </x:c>
      <x:c r="N94" s="13" t="str">
        <x:v>single_choice_score_or_interpretation_signal</x:v>
      </x:c>
    </x:row>
    <x:row r="95">
      <x:c r="A95" s="13" t="str">
        <x:v>361</x:v>
      </x:c>
      <x:c r="B95" s="13" t="str">
        <x:v>G7_8</x:v>
      </x:c>
      <x:c r="C95" s="13" t="str">
        <x:v>R02_D04_Q04</x:v>
      </x:c>
      <x:c r="D95" s="13" t="str">
        <x:v>R01_D02_Q08</x:v>
      </x:c>
      <x:c r="E95" s="13" t="str">
        <x:v>D04</x:v>
      </x:c>
      <x:c r="F95" s="13" t="str">
        <x:v>D02</x:v>
      </x:c>
      <x:c r="G95" s="13" t="str">
        <x:v>Legal and receiving route</x:v>
      </x:c>
      <x:c r="H95" s="13" t="str">
        <x:v>R02</x:v>
      </x:c>
      <x:c r="I95" s="13" t="str">
        <x:v>R01</x:v>
      </x:c>
      <x:c r="J95" s="13" t="str">
        <x:v>Legal Readiness</x:v>
      </x:c>
      <x:c r="K95" s="13" t="str">
        <x:v>Context, legal route &amp; compliance</x:v>
      </x:c>
      <x:c r="L95" s="13" t="str">
        <x:v>2 Eligibility Checked; 6 Due Diligence</x:v>
      </x:c>
      <x:c r="M95" s="13" t="str">
        <x:v>101</x:v>
      </x:c>
      <x:c r="N95" s="13" t="str">
        <x:v>single_choice_score_or_interpretation_signal</x:v>
      </x:c>
    </x:row>
    <x:row r="96">
      <x:c r="A96" s="13" t="str">
        <x:v>362</x:v>
      </x:c>
      <x:c r="B96" s="13" t="str">
        <x:v>G7_9</x:v>
      </x:c>
      <x:c r="C96" s="13" t="str">
        <x:v>R01_D01_Q06</x:v>
      </x:c>
      <x:c r="D96" s="13" t="str">
        <x:v>R01_D01_Q06</x:v>
      </x:c>
      <x:c r="E96" s="13" t="str">
        <x:v>D01</x:v>
      </x:c>
      <x:c r="F96" s="13" t="str">
        <x:v>D01</x:v>
      </x:c>
      <x:c r="G96" s="13" t="str">
        <x:v>Operating context and safety</x:v>
      </x:c>
      <x:c r="H96" s="13" t="str">
        <x:v>R01</x:v>
      </x:c>
      <x:c r="I96" s="13" t="str">
        <x:v>R01</x:v>
      </x:c>
      <x:c r="J96" s="13" t="str">
        <x:v>Context &amp; Safety</x:v>
      </x:c>
      <x:c r="K96" s="13" t="str">
        <x:v>Context, legal route &amp; compliance</x:v>
      </x:c>
      <x:c r="L96" s="13" t="str">
        <x:v>6 Due Diligence</x:v>
      </x:c>
      <x:c r="M96" s="13" t="str">
        <x:v>101</x:v>
      </x:c>
      <x:c r="N96" s="13" t="str">
        <x:v>single_choice_score_or_interpretation_signal</x:v>
      </x:c>
    </x:row>
    <x:row r="97">
      <x:c r="A97" s="13" t="str">
        <x:v>363</x:v>
      </x:c>
      <x:c r="B97" s="13" t="str">
        <x:v>G7_10</x:v>
      </x:c>
      <x:c r="C97" s="13" t="str">
        <x:v>R01_D01_Q07</x:v>
      </x:c>
      <x:c r="D97" s="13" t="str">
        <x:v>R01_D01_Q07</x:v>
      </x:c>
      <x:c r="E97" s="13" t="str">
        <x:v>D01</x:v>
      </x:c>
      <x:c r="F97" s="13" t="str">
        <x:v>D01</x:v>
      </x:c>
      <x:c r="G97" s="13" t="str">
        <x:v>Operating context and safety</x:v>
      </x:c>
      <x:c r="H97" s="13" t="str">
        <x:v>R01</x:v>
      </x:c>
      <x:c r="I97" s="13" t="str">
        <x:v>R01</x:v>
      </x:c>
      <x:c r="J97" s="13" t="str">
        <x:v>Context &amp; Safety</x:v>
      </x:c>
      <x:c r="K97" s="13" t="str">
        <x:v>Context, legal route &amp; compliance</x:v>
      </x:c>
      <x:c r="L97" s="13" t="str">
        <x:v>6 Due Diligence</x:v>
      </x:c>
      <x:c r="M97" s="13" t="str">
        <x:v>101</x:v>
      </x:c>
      <x:c r="N97" s="13" t="str">
        <x:v>single_choice_score_or_interpretation_signal</x:v>
      </x:c>
    </x:row>
    <x:row r="98">
      <x:c r="A98" s="13" t="str">
        <x:v>377</x:v>
      </x:c>
      <x:c r="B98" s="13" t="str">
        <x:v>G10_1</x:v>
      </x:c>
      <x:c r="C98" s="13" t="str">
        <x:v>R12_D23_Q05</x:v>
      </x:c>
      <x:c r="D98" s="13" t="str">
        <x:v>R12_D24_Q05</x:v>
      </x:c>
      <x:c r="E98" s="13" t="str">
        <x:v>D23</x:v>
      </x:c>
      <x:c r="F98" s="13" t="str">
        <x:v>D24</x:v>
      </x:c>
      <x:c r="G98" s="13" t="str">
        <x:v>Sustainability and adaptive capacity</x:v>
      </x:c>
      <x:c r="H98" s="13" t="str">
        <x:v>R12</x:v>
      </x:c>
      <x:c r="I98" s="13" t="str">
        <x:v>R12</x:v>
      </x:c>
      <x:c r="J98" s="13" t="str">
        <x:v>Financial Health</x:v>
      </x:c>
      <x:c r="K98" s="13" t="str">
        <x:v>Grant management &amp; sustainability</x:v>
      </x:c>
      <x:c r="L98" s="13" t="str">
        <x:v>7 Budget / Contract; 8 Award / Renewal</x:v>
      </x:c>
      <x:c r="M98" s="13" t="str">
        <x:v>112</x:v>
      </x:c>
      <x:c r="N98" s="13" t="str">
        <x:v>single_choice_score_or_interpretation_signal</x:v>
      </x:c>
    </x:row>
    <x:row r="99">
      <x:c r="A99" s="13" t="str">
        <x:v>378</x:v>
      </x:c>
      <x:c r="B99" s="13" t="str">
        <x:v>G10_2</x:v>
      </x:c>
      <x:c r="C99" s="13" t="str">
        <x:v>R12_D23_Q06</x:v>
      </x:c>
      <x:c r="D99" s="13" t="str">
        <x:v>R12_D24_Q06</x:v>
      </x:c>
      <x:c r="E99" s="13" t="str">
        <x:v>D23</x:v>
      </x:c>
      <x:c r="F99" s="13" t="str">
        <x:v>D24</x:v>
      </x:c>
      <x:c r="G99" s="13" t="str">
        <x:v>Sustainability and adaptive capacity</x:v>
      </x:c>
      <x:c r="H99" s="13" t="str">
        <x:v>R12</x:v>
      </x:c>
      <x:c r="I99" s="13" t="str">
        <x:v>R12</x:v>
      </x:c>
      <x:c r="J99" s="13" t="str">
        <x:v>Financial Health</x:v>
      </x:c>
      <x:c r="K99" s="13" t="str">
        <x:v>Grant management &amp; sustainability</x:v>
      </x:c>
      <x:c r="L99" s="13" t="str">
        <x:v>7 Budget / Contract; 8 Award / Renewal</x:v>
      </x:c>
      <x:c r="M99" s="13" t="str">
        <x:v>112</x:v>
      </x:c>
      <x:c r="N99" s="13" t="str">
        <x:v>single_choice_score_or_interpretation_signal</x:v>
      </x:c>
    </x:row>
    <x:row r="100">
      <x:c r="A100" s="13" t="str">
        <x:v>379</x:v>
      </x:c>
      <x:c r="B100" s="13" t="str">
        <x:v>G10_3</x:v>
      </x:c>
      <x:c r="C100" s="13" t="str">
        <x:v>R12_D24_Q06</x:v>
      </x:c>
      <x:c r="D100" s="13" t="str">
        <x:v>R12_D23_Q06</x:v>
      </x:c>
      <x:c r="E100" s="13" t="str">
        <x:v>D24</x:v>
      </x:c>
      <x:c r="F100" s="13" t="str">
        <x:v>D23</x:v>
      </x:c>
      <x:c r="G100" s="13" t="str">
        <x:v>Grant management and renewal</x:v>
      </x:c>
      <x:c r="H100" s="13" t="str">
        <x:v>R12</x:v>
      </x:c>
      <x:c r="I100" s="13" t="str">
        <x:v>R12</x:v>
      </x:c>
      <x:c r="J100" s="13" t="str">
        <x:v>Financial Health</x:v>
      </x:c>
      <x:c r="K100" s="13" t="str">
        <x:v>Grant management &amp; sustainability</x:v>
      </x:c>
      <x:c r="L100" s="13" t="str">
        <x:v>8 Award / Renewal</x:v>
      </x:c>
      <x:c r="M100" s="13" t="str">
        <x:v>112</x:v>
      </x:c>
      <x:c r="N100" s="13" t="str">
        <x:v>single_choice_score_or_interpretation_signal</x:v>
      </x:c>
    </x:row>
    <x:row r="101">
      <x:c r="A101" s="13" t="str">
        <x:v>381</x:v>
      </x:c>
      <x:c r="B101" s="13" t="str">
        <x:v>G10_5</x:v>
      </x:c>
      <x:c r="C101" s="13" t="str">
        <x:v>R12_D24_Q07</x:v>
      </x:c>
      <x:c r="D101" s="13" t="str">
        <x:v>R12_D23_Q07</x:v>
      </x:c>
      <x:c r="E101" s="13" t="str">
        <x:v>D24</x:v>
      </x:c>
      <x:c r="F101" s="13" t="str">
        <x:v>D23</x:v>
      </x:c>
      <x:c r="G101" s="13" t="str">
        <x:v>Grant management and renewal</x:v>
      </x:c>
      <x:c r="H101" s="13" t="str">
        <x:v>R12</x:v>
      </x:c>
      <x:c r="I101" s="13" t="str">
        <x:v>R12</x:v>
      </x:c>
      <x:c r="J101" s="13" t="str">
        <x:v>Financial Health</x:v>
      </x:c>
      <x:c r="K101" s="13" t="str">
        <x:v>Grant management &amp; sustainability</x:v>
      </x:c>
      <x:c r="L101" s="13" t="str">
        <x:v>8 Award / Renewal</x:v>
      </x:c>
      <x:c r="M101" s="13" t="str">
        <x:v>112</x:v>
      </x:c>
      <x:c r="N101" s="13" t="str">
        <x:v>single_choice_score_or_interpretation_signal</x:v>
      </x:c>
    </x:row>
    <x:row r="102">
      <x:c r="A102" s="13" t="str">
        <x:v>5246</x:v>
      </x:c>
      <x:c r="B102" s="13" t="str">
        <x:v>RT_MATRIX</x:v>
      </x:c>
      <x:c r="C102" s="13" t="str">
        <x:v>R07_D14_ROUTE_READINESS</x:v>
      </x:c>
      <x:c r="D102" s="13" t="str">
        <x:v>R06_D12_ROUTE_READINESS</x:v>
      </x:c>
      <x:c r="E102" s="13" t="str">
        <x:v>D14</x:v>
      </x:c>
      <x:c r="F102" s="13" t="str">
        <x:v>D12</x:v>
      </x:c>
      <x:c r="G102" s="13" t="str">
        <x:v>Referrals and intermediaries</x:v>
      </x:c>
      <x:c r="H102" s="13" t="str">
        <x:v>R07</x:v>
      </x:c>
      <x:c r="I102" s="13" t="str">
        <x:v>R06</x:v>
      </x:c>
      <x:c r="J102" s="13" t="str">
        <x:v>Network Access</x:v>
      </x:c>
      <x:c r="K102" s="13" t="str">
        <x:v>Network position &amp; access routes</x:v>
      </x:c>
      <x:c r="L102" s="13" t="str">
        <x:v>1 Opportunity Found; 5 Conversation / Clarification</x:v>
      </x:c>
      <x:c r="M102" s="13" t="str">
        <x:v>106</x:v>
      </x:c>
      <x:c r="N102" s="13" t="str">
        <x:v>route_readiness_matrix; use_now/verify/repair/pause/avoid/unsafe feed route recommendation</x:v>
      </x:c>
    </x:row>
    <x:row r="103">
      <x:c r="A103" s="13" t="str">
        <x:v>5267</x:v>
      </x:c>
      <x:c r="B103" s="13" t="str">
        <x:v>PAIN_MAIN</x:v>
      </x:c>
      <x:c r="C103" s="13" t="str">
        <x:v>R04_D08_MAIN_CONVERSION_PATTERN</x:v>
      </x:c>
      <x:c r="D103" s="13" t="str">
        <x:v>R03_D06_MAIN_CONVERSION_PATTERN</x:v>
      </x:c>
      <x:c r="E103" s="13" t="str">
        <x:v>D08</x:v>
      </x:c>
      <x:c r="F103" s="13" t="str">
        <x:v>D06</x:v>
      </x:c>
      <x:c r="G103" s="13" t="str">
        <x:v>Go/no-go discipline and repair loop</x:v>
      </x:c>
      <x:c r="H103" s="13" t="str">
        <x:v>R04</x:v>
      </x:c>
      <x:c r="I103" s="13" t="str">
        <x:v>R03</x:v>
      </x:c>
      <x:c r="J103" s="13" t="str">
        <x:v>Pipeline Discipline</x:v>
      </x:c>
      <x:c r="K103" s="13" t="str">
        <x:v>Fundraising systems &amp; go/no-go</x:v>
      </x:c>
      <x:c r="L103" s="13" t="str">
        <x:v>3 Application Submitted; 4 Proposal Review</x:v>
      </x:c>
      <x:c r="M103" s="13" t="str">
        <x:v>103</x:v>
      </x:c>
      <x:c r="N103" s="13" t="str">
        <x:v>single_choice_score_or_interpretation_signal</x:v>
      </x:c>
    </x:row>
    <x:row r="104">
      <x:c r="A104" s="13" t="str">
        <x:v>5268</x:v>
      </x:c>
      <x:c r="B104" s="13" t="str">
        <x:v>PAIN_SECONDARY</x:v>
      </x:c>
      <x:c r="C104" s="13" t="str">
        <x:v>R04_D08_SECONDARY_CONVERSION_PATTERNS</x:v>
      </x:c>
      <x:c r="D104" s="13" t="str">
        <x:v>R03_D06_SECONDARY_CONVERSION_PATTERNS</x:v>
      </x:c>
      <x:c r="E104" s="13" t="str">
        <x:v>D08</x:v>
      </x:c>
      <x:c r="F104" s="13" t="str">
        <x:v>D06</x:v>
      </x:c>
      <x:c r="G104" s="13" t="str">
        <x:v>Go/no-go discipline and repair loop</x:v>
      </x:c>
      <x:c r="H104" s="13" t="str">
        <x:v>R04</x:v>
      </x:c>
      <x:c r="I104" s="13" t="str">
        <x:v>R03</x:v>
      </x:c>
      <x:c r="J104" s="13" t="str">
        <x:v>Pipeline Discipline</x:v>
      </x:c>
      <x:c r="K104" s="13" t="str">
        <x:v>Fundraising systems &amp; go/no-go</x:v>
      </x:c>
      <x:c r="L104" s="13" t="str">
        <x:v>3 Application Submitted; 4 Proposal Review</x:v>
      </x:c>
      <x:c r="M104" s="13" t="str">
        <x:v>103</x:v>
      </x:c>
      <x:c r="N104" s="13" t="str">
        <x:v>multiple_selection; selected options feed report meaning and flags; do not average blindly</x:v>
      </x:c>
    </x:row>
    <x:row r="105">
      <x:c r="A105" s="13" t="str">
        <x:v>5281</x:v>
      </x:c>
      <x:c r="B105" s="13" t="str">
        <x:v>G2_3_SIGN</x:v>
      </x:c>
      <x:c r="C105" s="13" t="str">
        <x:v>R11_D21_Q07</x:v>
      </x:c>
      <x:c r="D105" s="13" t="str">
        <x:v>R11_D21_Q07</x:v>
      </x:c>
      <x:c r="E105" s="13" t="str">
        <x:v>D21</x:v>
      </x:c>
      <x:c r="F105" s="13" t="str">
        <x:v>D21</x:v>
      </x:c>
      <x:c r="G105" s="13" t="str">
        <x:v>Governance and controls</x:v>
      </x:c>
      <x:c r="H105" s="13" t="str">
        <x:v>R11</x:v>
      </x:c>
      <x:c r="I105" s="13" t="str">
        <x:v>R11</x:v>
      </x:c>
      <x:c r="J105" s="13" t="str">
        <x:v>Governance &amp; Ops</x:v>
      </x:c>
      <x:c r="K105" s="13" t="str">
        <x:v>Due diligence, finance &amp; risk</x:v>
      </x:c>
      <x:c r="L105" s="13" t="str">
        <x:v>6 Due Diligence; 7 Budget / Contract</x:v>
      </x:c>
      <x:c r="M105" s="13" t="str">
        <x:v>111</x:v>
      </x:c>
      <x:c r="N105" s="13" t="str">
        <x:v>single_choice_score_or_interpretation_signal</x:v>
      </x:c>
    </x:row>
    <x:row r="106">
      <x:c r="A106" s="13" t="str">
        <x:v>5282</x:v>
      </x:c>
      <x:c r="B106" s="13" t="str">
        <x:v>G2_3_SPEND</x:v>
      </x:c>
      <x:c r="C106" s="13" t="str">
        <x:v>R11_D22_Q08</x:v>
      </x:c>
      <x:c r="D106" s="13" t="str">
        <x:v>R11_D22_Q08</x:v>
      </x:c>
      <x:c r="E106" s="13" t="str">
        <x:v>D22</x:v>
      </x:c>
      <x:c r="F106" s="13" t="str">
        <x:v>D22</x:v>
      </x:c>
      <x:c r="G106" s="13" t="str">
        <x:v>Finance and risk readiness</x:v>
      </x:c>
      <x:c r="H106" s="13" t="str">
        <x:v>R11</x:v>
      </x:c>
      <x:c r="I106" s="13" t="str">
        <x:v>R11</x:v>
      </x:c>
      <x:c r="J106" s="13" t="str">
        <x:v>Governance &amp; Ops</x:v>
      </x:c>
      <x:c r="K106" s="13" t="str">
        <x:v>Due diligence, finance &amp; risk</x:v>
      </x:c>
      <x:c r="L106" s="13" t="str">
        <x:v>6 Due Diligence; 7 Budget / Contract</x:v>
      </x:c>
      <x:c r="M106" s="13" t="str">
        <x:v>111</x:v>
      </x:c>
      <x:c r="N106" s="13" t="str">
        <x:v>single_choice_score_or_interpretation_signal</x:v>
      </x:c>
    </x:row>
    <x:row r="107">
      <x:c r="A107" s="13" t="str">
        <x:v>5283</x:v>
      </x:c>
      <x:c r="B107" s="13" t="str">
        <x:v>ASSET_MATRIX</x:v>
      </x:c>
      <x:c r="C107" s="13" t="str">
        <x:v>R06_D12_ASSET_USE</x:v>
      </x:c>
      <x:c r="D107" s="13" t="str">
        <x:v>R05_D10_ASSET_USE</x:v>
      </x:c>
      <x:c r="E107" s="13" t="str">
        <x:v>D12</x:v>
      </x:c>
      <x:c r="F107" s="13" t="str">
        <x:v>D10</x:v>
      </x:c>
      <x:c r="G107" s="13" t="str">
        <x:v>Value case and ROI</x:v>
      </x:c>
      <x:c r="H107" s="13" t="str">
        <x:v>R06</x:v>
      </x:c>
      <x:c r="I107" s="13" t="str">
        <x:v>R05</x:v>
      </x:c>
      <x:c r="J107" s="13" t="str">
        <x:v>Competitive Edge</x:v>
      </x:c>
      <x:c r="K107" s="13" t="str">
        <x:v>Competitive positioning, appeal &amp; ROI</x:v>
      </x:c>
      <x:c r="L107" s="13" t="str">
        <x:v>4 Proposal Review</x:v>
      </x:c>
      <x:c r="M107" s="13" t="str">
        <x:v>105</x:v>
      </x:c>
      <x:c r="N107" s="13" t="str">
        <x:v>matrix_rows_as_positioning_and_value_case_signals</x:v>
      </x:c>
    </x:row>
    <x:row r="108">
      <x:c r="A108" s="13" t="str">
        <x:v>5377</x:v>
      </x:c>
      <x:c r="B108" s="13" t="str">
        <x:v>D_CONFIDENCE_MATRIX</x:v>
      </x:c>
      <x:c r="C108" s="13" t="str">
        <x:v>R01_D02_DOC_CONFIDENCE</x:v>
      </x:c>
      <x:c r="D108" s="13" t="str">
        <x:v>R10_D20_DOC_CONFIDENCE</x:v>
      </x:c>
      <x:c r="E108" s="13" t="str">
        <x:v>D02</x:v>
      </x:c>
      <x:c r="F108" s="13" t="str">
        <x:v>D20</x:v>
      </x:c>
      <x:c r="G108" s="13" t="str">
        <x:v>Protected evidence protocol</x:v>
      </x:c>
      <x:c r="H108" s="13" t="str">
        <x:v>R01</x:v>
      </x:c>
      <x:c r="I108" s="13" t="str">
        <x:v>R10</x:v>
      </x:c>
      <x:c r="J108" s="13" t="str">
        <x:v>Context &amp; Safety</x:v>
      </x:c>
      <x:c r="K108" s="13" t="str">
        <x:v>Safeguarding &amp; protected proof</x:v>
      </x:c>
      <x:c r="L108" s="13" t="str">
        <x:v>6 Due Diligence</x:v>
      </x:c>
      <x:c r="M108" s="13" t="str">
        <x:v>110</x:v>
      </x:c>
      <x:c r="N108" s="13" t="str">
        <x:v>document_evidence_matrix; protected evidence and N/A are safety modifiers, not failure scores</x:v>
      </x:c>
    </x:row>
  </x:sheetData>
  <x:pageMargins left="0.7" right="0.7" top="0.75" bottom="0.75" header="0.3" footer="0.3"/>
  <x:tableParts count="1">
    <x:tablePart xmlns:r="http://schemas.openxmlformats.org/officeDocument/2006/relationships" r:id="R804a3c9ae658416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</x:cols>
  <x:sheetData>
    <x:row r="1">
      <x:c r="A1" s="12" t="str">
        <x:v>Placeholder family</x:v>
      </x:c>
      <x:c r="B1" s="12" t="str">
        <x:v>Examples</x:v>
      </x:c>
      <x:c r="C1" s="12" t="str">
        <x:v>Source</x:v>
      </x:c>
      <x:c r="D1" s="12" t="str">
        <x:v>Tier</x:v>
      </x:c>
      <x:c r="E1" s="12" t="str">
        <x:v>Fail condition</x:v>
      </x:c>
    </x:row>
    <x:row r="2">
      <x:c r="A2" s="13" t="str">
        <x:v>Organisation identity</x:v>
      </x:c>
      <x:c r="B2" s="13" t="str">
        <x:v>ORG_NAME, COUNTRY, SECTOR, CONTEXT_SUMMARY</x:v>
      </x:c>
      <x:c r="C2" s="13" t="str">
        <x:v>Profile fields / setup questions</x:v>
      </x:c>
      <x:c r="D2" s="13" t="str">
        <x:v>Free + Full</x:v>
      </x:c>
      <x:c r="E2" s="13" t="str">
        <x:v>Missing organisation name or context not verified.</x:v>
      </x:c>
    </x:row>
    <x:row r="3">
      <x:c r="A3" s="13" t="str">
        <x:v>Variable scores</x:v>
      </x:c>
      <x:c r="B3" s="13" t="str">
        <x:v>R01_SCORE, R01_LEVEL, R01_METRIC_TABLE</x:v>
      </x:c>
      <x:c r="C3" s="13" t="str">
        <x:v>Scoring engine after metric aggregation and caps</x:v>
      </x:c>
      <x:c r="D3" s="13" t="str">
        <x:v>Free snapshot + Full deep dive</x:v>
      </x:c>
      <x:c r="E3" s="13" t="str">
        <x:v>Any variable has default score due to missing decoded metrics.</x:v>
      </x:c>
    </x:row>
    <x:row r="4">
      <x:c r="A4" s="13" t="str">
        <x:v>Driver scores</x:v>
      </x:c>
      <x:c r="B4" s="13" t="str">
        <x:v>D01_SCORE through D24_SCORE</x:v>
      </x:c>
      <x:c r="C4" s="13" t="str">
        <x:v>Metric registry driver aggregation</x:v>
      </x:c>
      <x:c r="D4" s="13" t="str">
        <x:v>Full + internal audit</x:v>
      </x:c>
      <x:c r="E4" s="13" t="str">
        <x:v>Missing driver or driver has no mapped metrics.</x:v>
      </x:c>
    </x:row>
    <x:row r="5">
      <x:c r="A5" s="13" t="str">
        <x:v>Stage scores</x:v>
      </x:c>
      <x:c r="B5" s="13" t="str">
        <x:v>STAGE_1_SCORE through STAGE_8_SCORE</x:v>
      </x:c>
      <x:c r="C5" s="13" t="str">
        <x:v>Stage formulas sheet</x:v>
      </x:c>
      <x:c r="D5" s="13" t="str">
        <x:v>Free + Full</x:v>
      </x:c>
      <x:c r="E5" s="13" t="str">
        <x:v>Stage formula references missing variable.</x:v>
      </x:c>
    </x:row>
    <x:row r="6">
      <x:c r="A6" s="13" t="str">
        <x:v>Evidence readiness</x:v>
      </x:c>
      <x:c r="B6" s="13" t="str">
        <x:v>LEAD_WITH, VERIFY, REPAIR, PROTECT, REDACT</x:v>
      </x:c>
      <x:c r="C6" s="13" t="str">
        <x:v>Document/evidence matrix and protected evidence flags</x:v>
      </x:c>
      <x:c r="D6" s="13" t="str">
        <x:v>Full; limited in Free</x:v>
      </x:c>
      <x:c r="E6" s="13" t="str">
        <x:v>Protected detail appearing in Free report.</x:v>
      </x:c>
    </x:row>
    <x:row r="7">
      <x:c r="A7" s="13" t="str">
        <x:v>Route guidance</x:v>
      </x:c>
      <x:c r="B7" s="13" t="str">
        <x:v>USE_NOW, VERIFY_ROUTE, REPAIR_ROUTE, PAUSE, AVOID, UNSAFE</x:v>
      </x:c>
      <x:c r="C7" s="13" t="str">
        <x:v>Route readiness selections</x:v>
      </x:c>
      <x:c r="D7" s="13" t="str">
        <x:v>Free summary + Full route page</x:v>
      </x:c>
      <x:c r="E7" s="13" t="str">
        <x:v>Unsafe route not triggering manual review.</x:v>
      </x:c>
    </x:row>
    <x:row r="8">
      <x:c r="A8" s="13" t="str">
        <x:v>30/60/90 plan</x:v>
      </x:c>
      <x:c r="B8" s="13" t="str">
        <x:v>STOP_30, REPAIR_30, VERIFY_60, USE_90</x:v>
      </x:c>
      <x:c r="C8" s="13" t="str">
        <x:v>Ranked priorities, route status and stage breakpoint</x:v>
      </x:c>
      <x:c r="D8" s="13" t="str">
        <x:v>Full</x:v>
      </x:c>
      <x:c r="E8" s="13" t="str">
        <x:v>Plan contains generic text not traceable to a score/flag/selection.</x:v>
      </x:c>
    </x:row>
  </x:sheetData>
  <x:pageMargins left="0.7" right="0.7" top="0.75" bottom="0.75" header="0.3" footer="0.3"/>
  <x:tableParts count="1">
    <x:tablePart xmlns:r="http://schemas.openxmlformats.org/officeDocument/2006/relationships" r:id="R596ac3a785bc477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12" t="str">
        <x:v>Content area</x:v>
      </x:c>
      <x:c r="B1" s="12" t="str">
        <x:v>Free Executive Report</x:v>
      </x:c>
      <x:c r="C1" s="12" t="str">
        <x:v>Paid Full Report</x:v>
      </x:c>
      <x:c r="D1" s="12" t="str">
        <x:v>Rule</x:v>
      </x:c>
    </x:row>
    <x:row r="2">
      <x:c r="A2" s="13" t="str">
        <x:v>Cover / organisation identity</x:v>
      </x:c>
      <x:c r="B2" s="13" t="str">
        <x:v>Include</x:v>
      </x:c>
      <x:c r="C2" s="13" t="str">
        <x:v>Include</x:v>
      </x:c>
      <x:c r="D2" s="13" t="str">
        <x:v>Use same client-safe identity fields.</x:v>
      </x:c>
    </x:row>
    <x:row r="3">
      <x:c r="A3" s="13" t="str">
        <x:v>Overall score and band</x:v>
      </x:c>
      <x:c r="B3" s="13" t="str">
        <x:v>Include</x:v>
      </x:c>
      <x:c r="C3" s="13" t="str">
        <x:v>Include</x:v>
      </x:c>
      <x:c r="D3" s="13" t="str">
        <x:v>Must be calculated from decoded signals only.</x:v>
      </x:c>
    </x:row>
    <x:row r="4">
      <x:c r="A4" s="13" t="str">
        <x:v>12-variable snapshot</x:v>
      </x:c>
      <x:c r="B4" s="13" t="str">
        <x:v>Include compact table</x:v>
      </x:c>
      <x:c r="C4" s="13" t="str">
        <x:v>Include full scorecard + 12 deep dives</x:v>
      </x:c>
      <x:c r="D4" s="13" t="str">
        <x:v>No metric-level detail in Free.</x:v>
      </x:c>
    </x:row>
    <x:row r="5">
      <x:c r="A5" s="13" t="str">
        <x:v>Top repair priorities</x:v>
      </x:c>
      <x:c r="B5" s="13" t="str">
        <x:v>Top 5 only</x:v>
      </x:c>
      <x:c r="C5" s="13" t="str">
        <x:v>Ranked priorities with explanation</x:v>
      </x:c>
      <x:c r="D5" s="13" t="str">
        <x:v>Priorities must trace to scores/flags.</x:v>
      </x:c>
    </x:row>
    <x:row r="6">
      <x:c r="A6" s="13" t="str">
        <x:v>Metric-level tables</x:v>
      </x:c>
      <x:c r="B6" s="13" t="str">
        <x:v>Exclude</x:v>
      </x:c>
      <x:c r="C6" s="13" t="str">
        <x:v>Include</x:v>
      </x:c>
      <x:c r="D6" s="13" t="str">
        <x:v>Paid value driver.</x:v>
      </x:c>
    </x:row>
    <x:row r="7">
      <x:c r="A7" s="13" t="str">
        <x:v>Document/evidence triage</x:v>
      </x:c>
      <x:c r="B7" s="13" t="str">
        <x:v>Summary only; no sensitive detail</x:v>
      </x:c>
      <x:c r="C7" s="13" t="str">
        <x:v>Full triage with safe handling</x:v>
      </x:c>
      <x:c r="D7" s="13" t="str">
        <x:v>Protected evidence never exposed in Free.</x:v>
      </x:c>
    </x:row>
    <x:row r="8">
      <x:c r="A8" s="13" t="str">
        <x:v>Route recommendations</x:v>
      </x:c>
      <x:c r="B8" s="13" t="str">
        <x:v>Stop/verify/use-now summary</x:v>
      </x:c>
      <x:c r="C8" s="13" t="str">
        <x:v>Full route guide</x:v>
      </x:c>
      <x:c r="D8" s="13" t="str">
        <x:v>Unsafe/avoid routes trigger manual review.</x:v>
      </x:c>
    </x:row>
    <x:row r="9">
      <x:c r="A9" s="13" t="str">
        <x:v>30/60/90 toolkit</x:v>
      </x:c>
      <x:c r="B9" s="13" t="str">
        <x:v>3 immediate next moves</x:v>
      </x:c>
      <x:c r="C9" s="13" t="str">
        <x:v>Full plan</x:v>
      </x:c>
      <x:c r="D9" s="13" t="str">
        <x:v>Free should be useful but not replace paid report.</x:v>
      </x:c>
    </x:row>
    <x:row r="10">
      <x:c r="A10" s="13" t="str">
        <x:v>Appendix metric map</x:v>
      </x:c>
      <x:c r="B10" s="13" t="str">
        <x:v>Exclude</x:v>
      </x:c>
      <x:c r="C10" s="13" t="str">
        <x:v>Include</x:v>
      </x:c>
      <x:c r="D10" s="13" t="str">
        <x:v>Full report only.</x:v>
      </x:c>
    </x:row>
  </x:sheetData>
  <x:pageMargins left="0.7" right="0.7" top="0.75" bottom="0.75" header="0.3" footer="0.3"/>
  <x:tableParts count="1">
    <x:tablePart xmlns:r="http://schemas.openxmlformats.org/officeDocument/2006/relationships" r:id="R012139ae02da480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</x:cols>
  <x:sheetData>
    <x:row r="1">
      <x:c r="A1" s="12" t="str">
        <x:v>QA gate</x:v>
      </x:c>
      <x:c r="B1" s="12" t="str">
        <x:v>Pass condition</x:v>
      </x:c>
      <x:c r="C1" s="12" t="str">
        <x:v>Fail action</x:v>
      </x:c>
    </x:row>
    <x:row r="2">
      <x:c r="A2" s="13" t="str">
        <x:v>Weight total</x:v>
      </x:c>
      <x:c r="B2" s="13" t="str">
        <x:v>12 variable weights sum to 100%</x:v>
      </x:c>
      <x:c r="C2" s="13" t="str">
        <x:v>Block release; fix framework registry.</x:v>
      </x:c>
    </x:row>
    <x:row r="3">
      <x:c r="A3" s="13" t="str">
        <x:v>Metric total</x:v>
      </x:c>
      <x:c r="B3" s="13" t="str">
        <x:v>12 variable metric counts sum to 121</x:v>
      </x:c>
      <x:c r="C3" s="13" t="str">
        <x:v>Block release; fix metric registry.</x:v>
      </x:c>
    </x:row>
    <x:row r="4">
      <x:c r="A4" s="13" t="str">
        <x:v>Driver coverage</x:v>
      </x:c>
      <x:c r="B4" s="13" t="str">
        <x:v>Exactly 24 drivers; every variable has 2 drivers</x:v>
      </x:c>
      <x:c r="C4" s="13" t="str">
        <x:v>Block release; fix driver map.</x:v>
      </x:c>
    </x:row>
    <x:row r="5">
      <x:c r="A5" s="13" t="str">
        <x:v>LSS decoding</x:v>
      </x:c>
      <x:c r="B5" s="13" t="str">
        <x:v>At least 80% of expected scored metrics decode for a complete response</x:v>
      </x:c>
      <x:c r="C5" s="13" t="str">
        <x:v>Do not generate client-facing report; send import/mapping error.</x:v>
      </x:c>
    </x:row>
    <x:row r="6">
      <x:c r="A6" s="13" t="str">
        <x:v>No zero-signal report</x:v>
      </x:c>
      <x:c r="B6" s="13" t="str">
        <x:v>Scored signal count &gt; 0 and no default 50% fallbacks</x:v>
      </x:c>
      <x:c r="C6" s="13" t="str">
        <x:v>Hard fail; show admin error.</x:v>
      </x:c>
    </x:row>
    <x:row r="7">
      <x:c r="A7" s="13" t="str">
        <x:v>Protected evidence</x:v>
      </x:c>
      <x:c r="B7" s="13" t="str">
        <x:v>Protected evidence excluded from Free and handled with safe guidance in Full</x:v>
      </x:c>
      <x:c r="C7" s="13" t="str">
        <x:v>Hard fail; manual review.</x:v>
      </x:c>
    </x:row>
    <x:row r="8">
      <x:c r="A8" s="13" t="str">
        <x:v>Route flags</x:v>
      </x:c>
      <x:c r="B8" s="13" t="str">
        <x:v>Unsafe/avoid route creates manual review and route warning</x:v>
      </x:c>
      <x:c r="C8" s="13" t="str">
        <x:v>Hard fail if unsafe route is treated as use-now.</x:v>
      </x:c>
    </x:row>
    <x:row r="9">
      <x:c r="A9" s="13" t="str">
        <x:v>Template fidelity</x:v>
      </x:c>
      <x:c r="B9" s="13" t="str">
        <x:v>Full report uses DOCX template; contents match actual pages</x:v>
      </x:c>
      <x:c r="C9" s="13" t="str">
        <x:v>Block paid report delivery.</x:v>
      </x:c>
    </x:row>
    <x:row r="10">
      <x:c r="A10" s="13" t="str">
        <x:v>Verdana PDF check</x:v>
      </x:c>
      <x:c r="B10" s="13" t="str">
        <x:v>Verdana is available and/or embedded/substituted only by approved fallback</x:v>
      </x:c>
      <x:c r="C10" s="13" t="str">
        <x:v>Block production PDF until font environment is fixed.</x:v>
      </x:c>
    </x:row>
    <x:row r="11">
      <x:c r="A11" s="13" t="str">
        <x:v>No old labels</x:v>
      </x:c>
      <x:c r="B11" s="13" t="str">
        <x:v>No client-facing Context &amp; Safety / Legal Readiness / Market Intelligence labels</x:v>
      </x:c>
      <x:c r="C11" s="13" t="str">
        <x:v>Block release; run old-label scan.</x:v>
      </x:c>
    </x:row>
  </x:sheetData>
  <x:pageMargins left="0.7" right="0.7" top="0.75" bottom="0.75" header="0.3" footer="0.3"/>
  <x:tableParts count="1">
    <x:tablePart xmlns:r="http://schemas.openxmlformats.org/officeDocument/2006/relationships" r:id="Ra1636daa8248400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2" t="str">
        <x:v>Change type</x:v>
      </x:c>
      <x:c r="B1" s="12" t="str">
        <x:v>Who approves</x:v>
      </x:c>
      <x:c r="C1" s="12" t="str">
        <x:v>Required updates</x:v>
      </x:c>
      <x:c r="D1" s="12" t="str">
        <x:v>Version bump</x:v>
      </x:c>
    </x:row>
    <x:row r="2">
      <x:c r="A2" s="13" t="str">
        <x:v>Variable name/weight/metric count</x:v>
      </x:c>
      <x:c r="B2" s="13" t="str">
        <x:v>Nyami / DOO U product owner</x:v>
      </x:c>
      <x:c r="C2" s="13" t="str">
        <x:v>Workbook, LSS, scoring engine, report template, QA tests</x:v>
      </x:c>
      <x:c r="D2" s="13" t="str">
        <x:v>Major</x:v>
      </x:c>
    </x:row>
    <x:row r="3">
      <x:c r="A3" s="13" t="str">
        <x:v>Driver name/mapping</x:v>
      </x:c>
      <x:c r="B3" s="13" t="str">
        <x:v>Product owner + scoring lead</x:v>
      </x:c>
      <x:c r="C3" s="13" t="str">
        <x:v>Workbook, LSS metadata, field audit, stage formulas if affected</x:v>
      </x:c>
      <x:c r="D3" s="13" t="str">
        <x:v>Minor/Major</x:v>
      </x:c>
    </x:row>
    <x:row r="4">
      <x:c r="A4" s="13" t="str">
        <x:v>Question wording or options</x:v>
      </x:c>
      <x:c r="B4" s="13" t="str">
        <x:v>Assessment designer + product owner</x:v>
      </x:c>
      <x:c r="C4" s="13" t="str">
        <x:v>LSS, answer scoring map, metric registry, QA tests</x:v>
      </x:c>
      <x:c r="D4" s="13" t="str">
        <x:v>Minor</x:v>
      </x:c>
    </x:row>
    <x:row r="5">
      <x:c r="A5" s="13" t="str">
        <x:v>Report design/layout</x:v>
      </x:c>
      <x:c r="B5" s="13" t="str">
        <x:v>Product owner + report QA</x:v>
      </x:c>
      <x:c r="C5" s="13" t="str">
        <x:v>DOCX template, PDF proof, placeholder map</x:v>
      </x:c>
      <x:c r="D5" s="13" t="str">
        <x:v>Patch/Minor</x:v>
      </x:c>
    </x:row>
    <x:row r="6">
      <x:c r="A6" s="13" t="str">
        <x:v>Safety/protected evidence logic</x:v>
      </x:c>
      <x:c r="B6" s="13" t="str">
        <x:v>Product owner + ethics/safety reviewer</x:v>
      </x:c>
      <x:c r="C6" s="13" t="str">
        <x:v>Evidence rules, Free/Full gates, manual review triggers</x:v>
      </x:c>
      <x:c r="D6" s="13" t="str">
        <x:v>Major</x:v>
      </x:c>
    </x:row>
  </x:sheetData>
  <x:pageMargins left="0.7" right="0.7" top="0.75" bottom="0.75" header="0.3" footer="0.3"/>
  <x:tableParts count="1">
    <x:tablePart xmlns:r="http://schemas.openxmlformats.org/officeDocument/2006/relationships" r:id="R8206b1920f2a484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16" hidden="0" customWidth="1"/>
    <x:col min="4" max="4" width="16" hidden="0" customWidth="1"/>
  </x:cols>
  <x:sheetData>
    <x:row r="1">
      <x:c r="A1" s="16" t="str">
        <x:v>Validation Check</x:v>
      </x:c>
      <x:c r="B1" s="16" t="str">
        <x:v>Formula / Value</x:v>
      </x:c>
      <x:c r="C1" s="16" t="str">
        <x:v>Required</x:v>
      </x:c>
      <x:c r="D1" s="16" t="str">
        <x:v>Status</x:v>
      </x:c>
    </x:row>
    <x:row r="2">
      <x:c r="A2" s="17" t="str">
        <x:v>Variable weight total</x:v>
      </x:c>
      <x:c r="B2" s="19" t="n">
        <x:f>SUMPRODUCT(--Framework_Lock_12!C2:C13)/100</x:f>
        <x:v>1</x:v>
      </x:c>
      <x:c r="C2" s="17" t="n">
        <x:v>1</x:v>
      </x:c>
      <x:c r="D2" s="17" t="str">
        <x:f>IF(B2=C2,"PASS","FAIL")</x:f>
        <x:v>PASS</x:v>
      </x:c>
    </x:row>
    <x:row r="3">
      <x:c r="A3" s="17" t="str">
        <x:v>Metric count total</x:v>
      </x:c>
      <x:c r="B3" s="20" t="n">
        <x:f>SUMPRODUCT(--Framework_Lock_12!D2:D13)</x:f>
        <x:v>121</x:v>
      </x:c>
      <x:c r="C3" s="17" t="n">
        <x:v>121</x:v>
      </x:c>
      <x:c r="D3" s="17" t="str">
        <x:f>IF(B3=C3,"PASS","FAIL")</x:f>
        <x:v>PASS</x:v>
      </x:c>
    </x:row>
    <x:row r="4">
      <x:c r="A4" s="17" t="str">
        <x:v>Driver count</x:v>
      </x:c>
      <x:c r="B4" s="20" t="n">
        <x:f>COUNTA(Driver_Lock_24!A2:A25)</x:f>
        <x:v>24</x:v>
      </x:c>
      <x:c r="C4" s="17" t="n">
        <x:v>24</x:v>
      </x:c>
      <x:c r="D4" s="17" t="str">
        <x:f>IF(B4=C4,"PASS","FAIL")</x:f>
        <x:v>PASS</x:v>
      </x:c>
    </x:row>
    <x:row r="5">
      <x:c r="A5" s="17" t="str">
        <x:v>LSS top-level fields</x:v>
      </x:c>
      <x:c r="B5" s="20" t="n">
        <x:f>COUNTA(LSS_Field_Lock!A2:A200)</x:f>
        <x:v>107</x:v>
      </x:c>
      <x:c r="C5" s="17" t="n">
        <x:v>107</x:v>
      </x:c>
      <x:c r="D5" s="17" t="str">
        <x:f>IF(B5=C5,"PASS","CHECK")</x:f>
        <x:v>PASS</x:v>
      </x:c>
    </x:row>
    <x:row r="6">
      <x:c r="A6" s="17" t="str">
        <x:v>Framework version</x:v>
      </x:c>
      <x:c r="B6" s="17" t="str">
        <x:v>REPORT_FRAMEWORK_LOCK_V1_2026_07_06</x:v>
      </x:c>
      <x:c r="C6" s="17" t="str">
        <x:v>Locked</x:v>
      </x:c>
      <x:c r="D6" s="17" t="str">
        <x:v>PASS</x:v>
      </x:c>
    </x:row>
  </x:sheetData>
  <x:conditionalFormatting sqref="D2:D6">
    <x:cfRule type="expression" dxfId="0" priority="1">
      <x:formula>D2="FAIL"</x:formula>
    </x:cfRule>
    <x:cfRule type="expression" dxfId="1" priority="2">
      <x:formula>D2="PASS"</x:formula>
    </x:cfRule>
  </x:conditionalFormatting>
  <x:pageMargins left="0.7" right="0.7" top="0.75" bottom="0.75" header="0.3" footer="0.3"/>
</x:worksheet>
</file>